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dcar\dynasty_bros_trade_calc_v5\data\"/>
    </mc:Choice>
  </mc:AlternateContent>
  <xr:revisionPtr revIDLastSave="0" documentId="8_{F7FB7C59-B949-4CED-9CAC-0D3CCA8EF2BC}" xr6:coauthVersionLast="47" xr6:coauthVersionMax="47" xr10:uidLastSave="{00000000-0000-0000-0000-000000000000}"/>
  <bookViews>
    <workbookView xWindow="-120" yWindow="-120" windowWidth="29040" windowHeight="15720" tabRatio="696" activeTab="2" xr2:uid="{7C5BEB36-2D51-423E-A307-7D64211FCBE7}"/>
  </bookViews>
  <sheets>
    <sheet name="QB24" sheetId="1" r:id="rId1"/>
    <sheet name="RB24" sheetId="2" r:id="rId2"/>
    <sheet name="WR24" sheetId="3" r:id="rId3"/>
    <sheet name="QB23" sheetId="11" r:id="rId4"/>
    <sheet name="TE24" sheetId="16" r:id="rId5"/>
    <sheet name="RB23" sheetId="12" r:id="rId6"/>
    <sheet name="WR23" sheetId="13" r:id="rId7"/>
    <sheet name="TE23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2" i="11"/>
  <c r="H3" i="16"/>
  <c r="H2" i="16"/>
  <c r="H6" i="16"/>
  <c r="H8" i="16"/>
  <c r="H9" i="16"/>
  <c r="H11" i="16"/>
  <c r="H10" i="16"/>
  <c r="H15" i="16"/>
  <c r="H16" i="16"/>
  <c r="H5" i="16"/>
  <c r="H17" i="16"/>
  <c r="H20" i="16"/>
  <c r="H13" i="16"/>
  <c r="H22" i="16"/>
  <c r="H23" i="16"/>
  <c r="H28" i="16"/>
  <c r="H24" i="16"/>
  <c r="H29" i="16"/>
  <c r="H30" i="16"/>
  <c r="H32" i="16"/>
  <c r="H31" i="16"/>
  <c r="H27" i="16"/>
  <c r="H33" i="16"/>
  <c r="H25" i="16"/>
  <c r="H26" i="16"/>
  <c r="H12" i="16"/>
  <c r="H7" i="16"/>
  <c r="H34" i="16"/>
  <c r="H21" i="16"/>
  <c r="H37" i="16"/>
  <c r="H36" i="16"/>
  <c r="H14" i="16"/>
  <c r="H19" i="16"/>
  <c r="H39" i="16"/>
  <c r="H40" i="16"/>
  <c r="H35" i="16"/>
  <c r="H41" i="16"/>
  <c r="H43" i="16"/>
  <c r="H45" i="16"/>
  <c r="H46" i="16"/>
  <c r="H44" i="16"/>
  <c r="H48" i="16"/>
  <c r="H38" i="16"/>
  <c r="H50" i="16"/>
  <c r="H51" i="16"/>
  <c r="H53" i="16"/>
  <c r="H54" i="16"/>
  <c r="H56" i="16"/>
  <c r="H55" i="16"/>
  <c r="H47" i="16"/>
  <c r="H49" i="16"/>
  <c r="H62" i="16"/>
  <c r="H42" i="16"/>
  <c r="H63" i="16"/>
  <c r="H58" i="16"/>
  <c r="H60" i="16"/>
  <c r="H59" i="16"/>
  <c r="H57" i="16"/>
  <c r="H64" i="16"/>
  <c r="H65" i="16"/>
  <c r="H66" i="16"/>
  <c r="H61" i="16"/>
  <c r="H69" i="16"/>
  <c r="H18" i="16"/>
  <c r="H70" i="16"/>
  <c r="H73" i="16"/>
  <c r="H74" i="16"/>
  <c r="H80" i="16"/>
  <c r="H81" i="16"/>
  <c r="H75" i="16"/>
  <c r="H71" i="16"/>
  <c r="H84" i="16"/>
  <c r="H78" i="16"/>
  <c r="H67" i="16"/>
  <c r="H68" i="16"/>
  <c r="H85" i="16"/>
  <c r="H87" i="16"/>
  <c r="H88" i="16"/>
  <c r="H89" i="16"/>
  <c r="H52" i="16"/>
  <c r="H90" i="16"/>
  <c r="H91" i="16"/>
  <c r="H92" i="16"/>
  <c r="H93" i="16"/>
  <c r="H94" i="16"/>
  <c r="H72" i="16"/>
  <c r="H79" i="16"/>
  <c r="H76" i="16"/>
  <c r="H95" i="16"/>
  <c r="H99" i="16"/>
  <c r="H100" i="16"/>
  <c r="H82" i="16"/>
  <c r="H86" i="16"/>
  <c r="H83" i="16"/>
  <c r="H96" i="16"/>
  <c r="H103" i="16"/>
  <c r="H97" i="16"/>
  <c r="H104" i="16"/>
  <c r="H105" i="16"/>
  <c r="H98" i="16"/>
  <c r="H106" i="16"/>
  <c r="H107" i="16"/>
  <c r="H108" i="16"/>
  <c r="H77" i="16"/>
  <c r="H110" i="16"/>
  <c r="H111" i="16"/>
  <c r="H112" i="16"/>
  <c r="H109" i="16"/>
  <c r="H101" i="16"/>
  <c r="H113" i="16"/>
  <c r="H102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4" i="16"/>
  <c r="H4" i="2"/>
  <c r="H2" i="2"/>
  <c r="H8" i="2"/>
  <c r="H5" i="2"/>
  <c r="H10" i="2"/>
  <c r="H14" i="2"/>
  <c r="H7" i="2"/>
  <c r="H9" i="2"/>
  <c r="H16" i="2"/>
  <c r="H12" i="2"/>
  <c r="H11" i="2"/>
  <c r="H15" i="2"/>
  <c r="H23" i="2"/>
  <c r="H17" i="2"/>
  <c r="H20" i="2"/>
  <c r="H6" i="2"/>
  <c r="H13" i="2"/>
  <c r="H32" i="2"/>
  <c r="H28" i="2"/>
  <c r="H22" i="2"/>
  <c r="H27" i="2"/>
  <c r="H30" i="2"/>
  <c r="H18" i="2"/>
  <c r="H31" i="2"/>
  <c r="H35" i="2"/>
  <c r="H19" i="2"/>
  <c r="H24" i="2"/>
  <c r="H21" i="2"/>
  <c r="H34" i="2"/>
  <c r="H25" i="2"/>
  <c r="H33" i="2"/>
  <c r="H40" i="2"/>
  <c r="H29" i="2"/>
  <c r="H37" i="2"/>
  <c r="H45" i="2"/>
  <c r="H42" i="2"/>
  <c r="H51" i="2"/>
  <c r="H38" i="2"/>
  <c r="H57" i="2"/>
  <c r="H36" i="2"/>
  <c r="H41" i="2"/>
  <c r="H48" i="2"/>
  <c r="H44" i="2"/>
  <c r="H47" i="2"/>
  <c r="H56" i="2"/>
  <c r="H61" i="2"/>
  <c r="H69" i="2"/>
  <c r="H49" i="2"/>
  <c r="H59" i="2"/>
  <c r="H58" i="2"/>
  <c r="H39" i="2"/>
  <c r="H54" i="2"/>
  <c r="H43" i="2"/>
  <c r="H50" i="2"/>
  <c r="H52" i="2"/>
  <c r="H70" i="2"/>
  <c r="H55" i="2"/>
  <c r="H67" i="2"/>
  <c r="H53" i="2"/>
  <c r="H64" i="2"/>
  <c r="H65" i="2"/>
  <c r="H66" i="2"/>
  <c r="H46" i="2"/>
  <c r="H71" i="2"/>
  <c r="H63" i="2"/>
  <c r="H68" i="2"/>
  <c r="H60" i="2"/>
  <c r="H26" i="2"/>
  <c r="H62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3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2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H3" i="3"/>
  <c r="H4" i="3"/>
  <c r="H10" i="3"/>
  <c r="H13" i="3"/>
  <c r="H22" i="3"/>
  <c r="H16" i="3"/>
  <c r="H17" i="3"/>
  <c r="H18" i="3"/>
  <c r="H21" i="3"/>
  <c r="H65" i="3"/>
  <c r="H5" i="3"/>
  <c r="H11" i="3"/>
  <c r="H19" i="3"/>
  <c r="H27" i="3"/>
  <c r="H29" i="3"/>
  <c r="H30" i="3"/>
  <c r="H31" i="3"/>
  <c r="H6" i="3"/>
  <c r="H9" i="3"/>
  <c r="H12" i="3"/>
  <c r="H20" i="3"/>
  <c r="H23" i="3"/>
  <c r="H25" i="3"/>
  <c r="H26" i="3"/>
  <c r="H28" i="3"/>
  <c r="H32" i="3"/>
  <c r="H36" i="3"/>
  <c r="H38" i="3"/>
  <c r="H42" i="3"/>
  <c r="H43" i="3"/>
  <c r="H44" i="3"/>
  <c r="H59" i="3"/>
  <c r="H8" i="3"/>
  <c r="H24" i="3"/>
  <c r="H35" i="3"/>
  <c r="H37" i="3"/>
  <c r="H39" i="3"/>
  <c r="H40" i="3"/>
  <c r="H41" i="3"/>
  <c r="H45" i="3"/>
  <c r="H50" i="3"/>
  <c r="H51" i="3"/>
  <c r="H55" i="3"/>
  <c r="H57" i="3"/>
  <c r="H58" i="3"/>
  <c r="H72" i="3"/>
  <c r="H76" i="3"/>
  <c r="H93" i="3"/>
  <c r="H100" i="3"/>
  <c r="H106" i="3"/>
  <c r="H7" i="3"/>
  <c r="H14" i="3"/>
  <c r="H15" i="3"/>
  <c r="H34" i="3"/>
  <c r="H48" i="3"/>
  <c r="H49" i="3"/>
  <c r="H54" i="3"/>
  <c r="H60" i="3"/>
  <c r="H61" i="3"/>
  <c r="H63" i="3"/>
  <c r="H64" i="3"/>
  <c r="H66" i="3"/>
  <c r="H73" i="3"/>
  <c r="H77" i="3"/>
  <c r="H79" i="3"/>
  <c r="H83" i="3"/>
  <c r="H84" i="3"/>
  <c r="H85" i="3"/>
  <c r="H92" i="3"/>
  <c r="H95" i="3"/>
  <c r="H96" i="3"/>
  <c r="H101" i="3"/>
  <c r="H102" i="3"/>
  <c r="H103" i="3"/>
  <c r="H110" i="3"/>
  <c r="H123" i="3"/>
  <c r="H132" i="3"/>
  <c r="H138" i="3"/>
  <c r="H164" i="3"/>
  <c r="H33" i="3"/>
  <c r="H46" i="3"/>
  <c r="H47" i="3"/>
  <c r="H52" i="3"/>
  <c r="H53" i="3"/>
  <c r="H56" i="3"/>
  <c r="H62" i="3"/>
  <c r="H67" i="3"/>
  <c r="H68" i="3"/>
  <c r="H69" i="3"/>
  <c r="H70" i="3"/>
  <c r="H71" i="3"/>
  <c r="H74" i="3"/>
  <c r="H75" i="3"/>
  <c r="H78" i="3"/>
  <c r="H80" i="3"/>
  <c r="H81" i="3"/>
  <c r="H82" i="3"/>
  <c r="H86" i="3"/>
  <c r="H87" i="3"/>
  <c r="H88" i="3"/>
  <c r="H89" i="3"/>
  <c r="H90" i="3"/>
  <c r="H91" i="3"/>
  <c r="H94" i="3"/>
  <c r="H97" i="3"/>
  <c r="H98" i="3"/>
  <c r="H99" i="3"/>
  <c r="H104" i="3"/>
  <c r="H105" i="3"/>
  <c r="H109" i="3"/>
  <c r="H107" i="3"/>
  <c r="H108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4" i="3"/>
  <c r="H125" i="3"/>
  <c r="H126" i="3"/>
  <c r="H127" i="3"/>
  <c r="H128" i="3"/>
  <c r="H129" i="3"/>
  <c r="H130" i="3"/>
  <c r="H131" i="3"/>
  <c r="H133" i="3"/>
  <c r="H134" i="3"/>
  <c r="H135" i="3"/>
  <c r="H136" i="3"/>
  <c r="H137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5" i="3"/>
  <c r="H167" i="3"/>
  <c r="H168" i="3"/>
  <c r="H169" i="3"/>
  <c r="H166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" i="3"/>
  <c r="G52" i="15"/>
  <c r="H52" i="15"/>
  <c r="I52" i="15"/>
  <c r="J52" i="15"/>
  <c r="G53" i="15"/>
  <c r="H53" i="15"/>
  <c r="I53" i="15"/>
  <c r="J53" i="15"/>
  <c r="G54" i="15"/>
  <c r="H54" i="15"/>
  <c r="I54" i="15"/>
  <c r="J54" i="15"/>
  <c r="G55" i="15"/>
  <c r="H55" i="15"/>
  <c r="I55" i="15"/>
  <c r="J55" i="15"/>
  <c r="G56" i="15"/>
  <c r="H56" i="15"/>
  <c r="I56" i="15"/>
  <c r="J56" i="15"/>
  <c r="G57" i="15"/>
  <c r="H57" i="15"/>
  <c r="I57" i="15"/>
  <c r="J57" i="15"/>
  <c r="G58" i="15"/>
  <c r="H58" i="15"/>
  <c r="I58" i="15"/>
  <c r="J58" i="15"/>
  <c r="G59" i="15"/>
  <c r="H59" i="15"/>
  <c r="I59" i="15"/>
  <c r="J59" i="15"/>
  <c r="G60" i="15"/>
  <c r="H60" i="15"/>
  <c r="I60" i="15"/>
  <c r="J60" i="15"/>
  <c r="G61" i="15"/>
  <c r="H61" i="15"/>
  <c r="I61" i="15"/>
  <c r="J61" i="15"/>
  <c r="G62" i="15"/>
  <c r="H62" i="15"/>
  <c r="I62" i="15"/>
  <c r="J62" i="15"/>
  <c r="G63" i="15"/>
  <c r="H63" i="15"/>
  <c r="I63" i="15"/>
  <c r="J63" i="15"/>
  <c r="G64" i="15"/>
  <c r="H64" i="15"/>
  <c r="I64" i="15"/>
  <c r="J64" i="15"/>
  <c r="G65" i="15"/>
  <c r="H65" i="15"/>
  <c r="I65" i="15"/>
  <c r="J65" i="15"/>
  <c r="G66" i="15"/>
  <c r="H66" i="15"/>
  <c r="I66" i="15"/>
  <c r="J66" i="15"/>
  <c r="G67" i="15"/>
  <c r="H67" i="15"/>
  <c r="I67" i="15"/>
  <c r="J67" i="15"/>
  <c r="G68" i="15"/>
  <c r="H68" i="15"/>
  <c r="I68" i="15"/>
  <c r="J68" i="15"/>
  <c r="G69" i="15"/>
  <c r="H69" i="15"/>
  <c r="I69" i="15"/>
  <c r="J69" i="15"/>
  <c r="G70" i="15"/>
  <c r="H70" i="15"/>
  <c r="I70" i="15"/>
  <c r="J70" i="15"/>
  <c r="G71" i="15"/>
  <c r="H71" i="15"/>
  <c r="I71" i="15"/>
  <c r="J71" i="15"/>
  <c r="G72" i="15"/>
  <c r="H72" i="15"/>
  <c r="I72" i="15"/>
  <c r="J72" i="15"/>
  <c r="G73" i="15"/>
  <c r="H73" i="15"/>
  <c r="I73" i="15"/>
  <c r="J73" i="15"/>
  <c r="G74" i="15"/>
  <c r="H74" i="15"/>
  <c r="I74" i="15"/>
  <c r="J74" i="15"/>
  <c r="G75" i="15"/>
  <c r="H75" i="15"/>
  <c r="I75" i="15"/>
  <c r="J75" i="15"/>
  <c r="G76" i="15"/>
  <c r="H76" i="15"/>
  <c r="I76" i="15"/>
  <c r="J76" i="15"/>
  <c r="G77" i="15"/>
  <c r="H77" i="15"/>
  <c r="I77" i="15"/>
  <c r="J77" i="15"/>
  <c r="G78" i="15"/>
  <c r="H78" i="15"/>
  <c r="I78" i="15"/>
  <c r="J78" i="15"/>
  <c r="G79" i="15"/>
  <c r="H79" i="15"/>
  <c r="I79" i="15"/>
  <c r="J79" i="15"/>
  <c r="G80" i="15"/>
  <c r="H80" i="15"/>
  <c r="I80" i="15"/>
  <c r="J80" i="15"/>
  <c r="G81" i="15"/>
  <c r="H81" i="15"/>
  <c r="I81" i="15"/>
  <c r="J81" i="15"/>
  <c r="G82" i="15"/>
  <c r="H82" i="15"/>
  <c r="I82" i="15"/>
  <c r="J82" i="15"/>
  <c r="G83" i="15"/>
  <c r="H83" i="15"/>
  <c r="I83" i="15"/>
  <c r="J83" i="15"/>
  <c r="G84" i="15"/>
  <c r="H84" i="15"/>
  <c r="I84" i="15"/>
  <c r="J84" i="15"/>
  <c r="G85" i="15"/>
  <c r="H85" i="15"/>
  <c r="I85" i="15"/>
  <c r="J85" i="15"/>
  <c r="G86" i="15"/>
  <c r="H86" i="15"/>
  <c r="I86" i="15"/>
  <c r="J86" i="15"/>
  <c r="G87" i="15"/>
  <c r="H87" i="15"/>
  <c r="I87" i="15"/>
  <c r="J87" i="15"/>
  <c r="G88" i="15"/>
  <c r="H88" i="15"/>
  <c r="I88" i="15"/>
  <c r="J88" i="15"/>
  <c r="G89" i="15"/>
  <c r="H89" i="15"/>
  <c r="I89" i="15"/>
  <c r="J89" i="15"/>
  <c r="G90" i="15"/>
  <c r="H90" i="15"/>
  <c r="I90" i="15"/>
  <c r="J90" i="15"/>
  <c r="G91" i="15"/>
  <c r="H91" i="15"/>
  <c r="I91" i="15"/>
  <c r="J91" i="15"/>
  <c r="G92" i="15"/>
  <c r="H92" i="15"/>
  <c r="I92" i="15"/>
  <c r="J92" i="15"/>
  <c r="G93" i="15"/>
  <c r="H93" i="15"/>
  <c r="I93" i="15"/>
  <c r="J93" i="15"/>
  <c r="G94" i="15"/>
  <c r="H94" i="15"/>
  <c r="I94" i="15"/>
  <c r="J94" i="15"/>
  <c r="G95" i="15"/>
  <c r="H95" i="15"/>
  <c r="I95" i="15"/>
  <c r="J95" i="15"/>
  <c r="G96" i="15"/>
  <c r="H96" i="15"/>
  <c r="I96" i="15"/>
  <c r="J96" i="15"/>
  <c r="G97" i="15"/>
  <c r="H97" i="15"/>
  <c r="I97" i="15"/>
  <c r="J97" i="15"/>
  <c r="G98" i="15"/>
  <c r="H98" i="15"/>
  <c r="I98" i="15"/>
  <c r="J98" i="15"/>
  <c r="G99" i="15"/>
  <c r="H99" i="15"/>
  <c r="I99" i="15"/>
  <c r="J99" i="15"/>
  <c r="G100" i="15"/>
  <c r="H100" i="15"/>
  <c r="I100" i="15"/>
  <c r="J100" i="15"/>
  <c r="G101" i="15"/>
  <c r="H101" i="15"/>
  <c r="I101" i="15"/>
  <c r="J101" i="15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G3" i="11"/>
  <c r="I3" i="11"/>
  <c r="J3" i="11"/>
  <c r="K3" i="11"/>
  <c r="G4" i="11"/>
  <c r="I4" i="11"/>
  <c r="J4" i="11"/>
  <c r="K4" i="11"/>
  <c r="G5" i="11"/>
  <c r="I5" i="11"/>
  <c r="J5" i="11"/>
  <c r="K5" i="11"/>
  <c r="G6" i="11"/>
  <c r="I6" i="11"/>
  <c r="J6" i="11"/>
  <c r="K6" i="11"/>
  <c r="G7" i="11"/>
  <c r="I7" i="11"/>
  <c r="J7" i="11"/>
  <c r="K7" i="11"/>
  <c r="G8" i="11"/>
  <c r="I8" i="11"/>
  <c r="J8" i="11"/>
  <c r="K8" i="11"/>
  <c r="G9" i="11"/>
  <c r="I9" i="11"/>
  <c r="J9" i="11"/>
  <c r="K9" i="11"/>
  <c r="G10" i="11"/>
  <c r="I10" i="11"/>
  <c r="J10" i="11"/>
  <c r="K10" i="11"/>
  <c r="G11" i="11"/>
  <c r="I11" i="11"/>
  <c r="J11" i="11"/>
  <c r="K11" i="11"/>
  <c r="G12" i="11"/>
  <c r="I12" i="11"/>
  <c r="J12" i="11"/>
  <c r="K12" i="11"/>
  <c r="G13" i="11"/>
  <c r="I13" i="11"/>
  <c r="J13" i="11"/>
  <c r="K13" i="11"/>
  <c r="G14" i="11"/>
  <c r="I14" i="11"/>
  <c r="J14" i="11"/>
  <c r="K14" i="11"/>
  <c r="G15" i="11"/>
  <c r="I15" i="11"/>
  <c r="J15" i="11"/>
  <c r="K15" i="11"/>
  <c r="G16" i="11"/>
  <c r="I16" i="11"/>
  <c r="J16" i="11"/>
  <c r="K16" i="11"/>
  <c r="G17" i="11"/>
  <c r="I17" i="11"/>
  <c r="J17" i="11"/>
  <c r="K17" i="11"/>
  <c r="G18" i="11"/>
  <c r="I18" i="11"/>
  <c r="J18" i="11"/>
  <c r="K18" i="11"/>
  <c r="G19" i="11"/>
  <c r="I19" i="11"/>
  <c r="J19" i="11"/>
  <c r="K19" i="11"/>
  <c r="G20" i="11"/>
  <c r="I20" i="11"/>
  <c r="J20" i="11"/>
  <c r="K20" i="11"/>
  <c r="G21" i="11"/>
  <c r="I21" i="11"/>
  <c r="J21" i="11"/>
  <c r="K21" i="11"/>
  <c r="G22" i="11"/>
  <c r="I22" i="11"/>
  <c r="J22" i="11"/>
  <c r="K22" i="11"/>
  <c r="G23" i="11"/>
  <c r="I23" i="11"/>
  <c r="J23" i="11"/>
  <c r="K23" i="11"/>
  <c r="G24" i="11"/>
  <c r="I24" i="11"/>
  <c r="J24" i="11"/>
  <c r="K24" i="11"/>
  <c r="G25" i="11"/>
  <c r="I25" i="11"/>
  <c r="J25" i="11"/>
  <c r="K25" i="11"/>
  <c r="G26" i="11"/>
  <c r="I26" i="11"/>
  <c r="J26" i="11"/>
  <c r="K26" i="11"/>
  <c r="G27" i="11"/>
  <c r="I27" i="11"/>
  <c r="J27" i="11"/>
  <c r="K27" i="11"/>
  <c r="G28" i="11"/>
  <c r="I28" i="11"/>
  <c r="J28" i="11"/>
  <c r="K28" i="11"/>
  <c r="G29" i="11"/>
  <c r="I29" i="11"/>
  <c r="J29" i="11"/>
  <c r="K29" i="11"/>
  <c r="G30" i="11"/>
  <c r="I30" i="11"/>
  <c r="J30" i="11"/>
  <c r="K30" i="11"/>
  <c r="G31" i="11"/>
  <c r="I31" i="11"/>
  <c r="J31" i="11"/>
  <c r="K31" i="11"/>
  <c r="G32" i="11"/>
  <c r="I32" i="11"/>
  <c r="J32" i="11"/>
  <c r="K32" i="11"/>
  <c r="G33" i="11"/>
  <c r="I33" i="11"/>
  <c r="J33" i="11"/>
  <c r="K33" i="11"/>
  <c r="G34" i="11"/>
  <c r="I34" i="11"/>
  <c r="J34" i="11"/>
  <c r="K34" i="11"/>
  <c r="G35" i="11"/>
  <c r="I35" i="11"/>
  <c r="J35" i="11"/>
  <c r="K35" i="11"/>
  <c r="G36" i="11"/>
  <c r="I36" i="11"/>
  <c r="J36" i="11"/>
  <c r="K36" i="11"/>
  <c r="G37" i="11"/>
  <c r="I37" i="11"/>
  <c r="J37" i="11"/>
  <c r="K37" i="11"/>
  <c r="G38" i="11"/>
  <c r="I38" i="11"/>
  <c r="J38" i="11"/>
  <c r="K38" i="11"/>
  <c r="G39" i="11"/>
  <c r="I39" i="11"/>
  <c r="J39" i="11"/>
  <c r="K39" i="11"/>
  <c r="G40" i="11"/>
  <c r="I40" i="11"/>
  <c r="J40" i="11"/>
  <c r="K40" i="11"/>
  <c r="G41" i="11"/>
  <c r="I41" i="11"/>
  <c r="J41" i="11"/>
  <c r="K41" i="11"/>
  <c r="G42" i="11"/>
  <c r="I42" i="11"/>
  <c r="J42" i="11"/>
  <c r="K42" i="11"/>
  <c r="G43" i="11"/>
  <c r="I43" i="11"/>
  <c r="J43" i="11"/>
  <c r="K43" i="11"/>
  <c r="G44" i="11"/>
  <c r="I44" i="11"/>
  <c r="J44" i="11"/>
  <c r="K44" i="11"/>
  <c r="G45" i="11"/>
  <c r="I45" i="11"/>
  <c r="J45" i="11"/>
  <c r="K45" i="11"/>
  <c r="G46" i="11"/>
  <c r="I46" i="11"/>
  <c r="J46" i="11"/>
  <c r="K46" i="11"/>
  <c r="G47" i="11"/>
  <c r="I47" i="11"/>
  <c r="J47" i="11"/>
  <c r="K47" i="11"/>
  <c r="G48" i="11"/>
  <c r="I48" i="11"/>
  <c r="J48" i="11"/>
  <c r="K48" i="11"/>
  <c r="G49" i="11"/>
  <c r="I49" i="11"/>
  <c r="J49" i="11"/>
  <c r="K49" i="11"/>
  <c r="K2" i="11"/>
  <c r="J2" i="11"/>
  <c r="I2" i="1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G2" i="1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2" i="1"/>
  <c r="G2" i="3"/>
  <c r="D3" i="3"/>
  <c r="D4" i="3"/>
  <c r="D13" i="3"/>
  <c r="D8" i="3"/>
  <c r="D21" i="3"/>
  <c r="D10" i="3"/>
  <c r="D11" i="3"/>
  <c r="D27" i="3"/>
  <c r="D28" i="3"/>
  <c r="D18" i="3"/>
  <c r="D30" i="3"/>
  <c r="D23" i="3"/>
  <c r="D22" i="3"/>
  <c r="D20" i="3"/>
  <c r="D31" i="3"/>
  <c r="D6" i="3"/>
  <c r="D32" i="3"/>
  <c r="D25" i="3"/>
  <c r="D16" i="3"/>
  <c r="D26" i="3"/>
  <c r="D29" i="3"/>
  <c r="D12" i="3"/>
  <c r="D36" i="3"/>
  <c r="D38" i="3"/>
  <c r="D5" i="3"/>
  <c r="D19" i="3"/>
  <c r="D44" i="3"/>
  <c r="D40" i="3"/>
  <c r="D55" i="3"/>
  <c r="D37" i="3"/>
  <c r="D41" i="3"/>
  <c r="D42" i="3"/>
  <c r="D65" i="3"/>
  <c r="D24" i="3"/>
  <c r="D47" i="3"/>
  <c r="D34" i="3"/>
  <c r="D17" i="3"/>
  <c r="D43" i="3"/>
  <c r="D58" i="3"/>
  <c r="D48" i="3"/>
  <c r="D39" i="3"/>
  <c r="D59" i="3"/>
  <c r="D51" i="3"/>
  <c r="D60" i="3"/>
  <c r="D57" i="3"/>
  <c r="D54" i="3"/>
  <c r="D61" i="3"/>
  <c r="D76" i="3"/>
  <c r="D67" i="3"/>
  <c r="D49" i="3"/>
  <c r="D35" i="3"/>
  <c r="D9" i="3"/>
  <c r="D64" i="3"/>
  <c r="D50" i="3"/>
  <c r="D53" i="3"/>
  <c r="D100" i="3"/>
  <c r="D83" i="3"/>
  <c r="D45" i="3"/>
  <c r="D69" i="3"/>
  <c r="D70" i="3"/>
  <c r="D79" i="3"/>
  <c r="D66" i="3"/>
  <c r="D14" i="3"/>
  <c r="D72" i="3"/>
  <c r="D90" i="3"/>
  <c r="D86" i="3"/>
  <c r="D82" i="3"/>
  <c r="D92" i="3"/>
  <c r="D93" i="3"/>
  <c r="D62" i="3"/>
  <c r="D95" i="3"/>
  <c r="D84" i="3"/>
  <c r="D74" i="3"/>
  <c r="D46" i="3"/>
  <c r="D56" i="3"/>
  <c r="D87" i="3"/>
  <c r="D104" i="3"/>
  <c r="D78" i="3"/>
  <c r="D91" i="3"/>
  <c r="D101" i="3"/>
  <c r="D85" i="3"/>
  <c r="D77" i="3"/>
  <c r="D96" i="3"/>
  <c r="D103" i="3"/>
  <c r="D106" i="3"/>
  <c r="D75" i="3"/>
  <c r="D102" i="3"/>
  <c r="D123" i="3"/>
  <c r="D138" i="3"/>
  <c r="D81" i="3"/>
  <c r="D15" i="3"/>
  <c r="D89" i="3"/>
  <c r="D63" i="3"/>
  <c r="D68" i="3"/>
  <c r="D71" i="3"/>
  <c r="D109" i="3"/>
  <c r="D113" i="3"/>
  <c r="D97" i="3"/>
  <c r="D7" i="3"/>
  <c r="D112" i="3"/>
  <c r="D107" i="3"/>
  <c r="D94" i="3"/>
  <c r="D119" i="3"/>
  <c r="D73" i="3"/>
  <c r="D125" i="3"/>
  <c r="D120" i="3"/>
  <c r="D128" i="3"/>
  <c r="D105" i="3"/>
  <c r="D122" i="3"/>
  <c r="D110" i="3"/>
  <c r="D115" i="3"/>
  <c r="D132" i="3"/>
  <c r="D165" i="3"/>
  <c r="D116" i="3"/>
  <c r="D114" i="3"/>
  <c r="D118" i="3"/>
  <c r="D133" i="3"/>
  <c r="D134" i="3"/>
  <c r="D126" i="3"/>
  <c r="D111" i="3"/>
  <c r="D121" i="3"/>
  <c r="D164" i="3"/>
  <c r="D127" i="3"/>
  <c r="D167" i="3"/>
  <c r="D130" i="3"/>
  <c r="D139" i="3"/>
  <c r="D140" i="3"/>
  <c r="D146" i="3"/>
  <c r="D168" i="3"/>
  <c r="D99" i="3"/>
  <c r="D169" i="3"/>
  <c r="D142" i="3"/>
  <c r="D117" i="3"/>
  <c r="D166" i="3"/>
  <c r="D108" i="3"/>
  <c r="D135" i="3"/>
  <c r="D141" i="3"/>
  <c r="D159" i="3"/>
  <c r="D170" i="3"/>
  <c r="D131" i="3"/>
  <c r="D161" i="3"/>
  <c r="D171" i="3"/>
  <c r="D157" i="3"/>
  <c r="D163" i="3"/>
  <c r="D52" i="3"/>
  <c r="D172" i="3"/>
  <c r="D173" i="3"/>
  <c r="D174" i="3"/>
  <c r="D150" i="3"/>
  <c r="D175" i="3"/>
  <c r="D176" i="3"/>
  <c r="D177" i="3"/>
  <c r="D144" i="3"/>
  <c r="D147" i="3"/>
  <c r="D178" i="3"/>
  <c r="D179" i="3"/>
  <c r="D180" i="3"/>
  <c r="D181" i="3"/>
  <c r="D182" i="3"/>
  <c r="D151" i="3"/>
  <c r="D183" i="3"/>
  <c r="D124" i="3"/>
  <c r="D184" i="3"/>
  <c r="D33" i="3"/>
  <c r="D185" i="3"/>
  <c r="D186" i="3"/>
  <c r="D187" i="3"/>
  <c r="D158" i="3"/>
  <c r="D188" i="3"/>
  <c r="D88" i="3"/>
  <c r="D189" i="3"/>
  <c r="D190" i="3"/>
  <c r="D129" i="3"/>
  <c r="D152" i="3"/>
  <c r="D191" i="3"/>
  <c r="D192" i="3"/>
  <c r="D193" i="3"/>
  <c r="D153" i="3"/>
  <c r="D194" i="3"/>
  <c r="D195" i="3"/>
  <c r="D196" i="3"/>
  <c r="D197" i="3"/>
  <c r="D198" i="3"/>
  <c r="D199" i="3"/>
  <c r="D80" i="3"/>
  <c r="D200" i="3"/>
  <c r="D154" i="3"/>
  <c r="D201" i="3"/>
  <c r="D202" i="3"/>
  <c r="D203" i="3"/>
  <c r="D98" i="3"/>
  <c r="D204" i="3"/>
  <c r="D205" i="3"/>
  <c r="D137" i="3"/>
  <c r="D155" i="3"/>
  <c r="D206" i="3"/>
  <c r="D207" i="3"/>
  <c r="D208" i="3"/>
  <c r="D143" i="3"/>
  <c r="D145" i="3"/>
  <c r="D209" i="3"/>
  <c r="D148" i="3"/>
  <c r="D210" i="3"/>
  <c r="D149" i="3"/>
  <c r="D211" i="3"/>
  <c r="D212" i="3"/>
  <c r="D213" i="3"/>
  <c r="D136" i="3"/>
  <c r="D156" i="3"/>
  <c r="D214" i="3"/>
  <c r="D215" i="3"/>
  <c r="D160" i="3"/>
  <c r="D162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9" i="3"/>
  <c r="D257" i="3"/>
  <c r="D258" i="3"/>
  <c r="D2" i="3"/>
  <c r="D2" i="13"/>
  <c r="D3" i="16"/>
  <c r="D2" i="16"/>
  <c r="D6" i="16"/>
  <c r="D8" i="16"/>
  <c r="D9" i="16"/>
  <c r="D11" i="16"/>
  <c r="D10" i="16"/>
  <c r="D15" i="16"/>
  <c r="D16" i="16"/>
  <c r="D5" i="16"/>
  <c r="D17" i="16"/>
  <c r="D20" i="16"/>
  <c r="D13" i="16"/>
  <c r="D22" i="16"/>
  <c r="D23" i="16"/>
  <c r="D28" i="16"/>
  <c r="D24" i="16"/>
  <c r="D29" i="16"/>
  <c r="D30" i="16"/>
  <c r="D32" i="16"/>
  <c r="D31" i="16"/>
  <c r="D27" i="16"/>
  <c r="D33" i="16"/>
  <c r="D25" i="16"/>
  <c r="D26" i="16"/>
  <c r="D12" i="16"/>
  <c r="D7" i="16"/>
  <c r="D34" i="16"/>
  <c r="D21" i="16"/>
  <c r="D37" i="16"/>
  <c r="D36" i="16"/>
  <c r="D14" i="16"/>
  <c r="D19" i="16"/>
  <c r="D39" i="16"/>
  <c r="D40" i="16"/>
  <c r="D35" i="16"/>
  <c r="D41" i="16"/>
  <c r="D43" i="16"/>
  <c r="D45" i="16"/>
  <c r="D46" i="16"/>
  <c r="D44" i="16"/>
  <c r="D48" i="16"/>
  <c r="D38" i="16"/>
  <c r="D50" i="16"/>
  <c r="D51" i="16"/>
  <c r="D53" i="16"/>
  <c r="D54" i="16"/>
  <c r="D56" i="16"/>
  <c r="D55" i="16"/>
  <c r="D4" i="16"/>
  <c r="K259" i="16"/>
  <c r="J259" i="16"/>
  <c r="I259" i="16"/>
  <c r="G259" i="16"/>
  <c r="K258" i="16"/>
  <c r="J258" i="16"/>
  <c r="I258" i="16"/>
  <c r="G258" i="16"/>
  <c r="K257" i="16"/>
  <c r="J257" i="16"/>
  <c r="I257" i="16"/>
  <c r="G257" i="16"/>
  <c r="K256" i="16"/>
  <c r="J256" i="16"/>
  <c r="I256" i="16"/>
  <c r="G256" i="16"/>
  <c r="K255" i="16"/>
  <c r="J255" i="16"/>
  <c r="I255" i="16"/>
  <c r="G255" i="16"/>
  <c r="K254" i="16"/>
  <c r="J254" i="16"/>
  <c r="I254" i="16"/>
  <c r="G254" i="16"/>
  <c r="K253" i="16"/>
  <c r="J253" i="16"/>
  <c r="I253" i="16"/>
  <c r="G253" i="16"/>
  <c r="K252" i="16"/>
  <c r="J252" i="16"/>
  <c r="I252" i="16"/>
  <c r="G252" i="16"/>
  <c r="K251" i="16"/>
  <c r="J251" i="16"/>
  <c r="I251" i="16"/>
  <c r="G251" i="16"/>
  <c r="K250" i="16"/>
  <c r="J250" i="16"/>
  <c r="I250" i="16"/>
  <c r="G250" i="16"/>
  <c r="K249" i="16"/>
  <c r="J249" i="16"/>
  <c r="I249" i="16"/>
  <c r="G249" i="16"/>
  <c r="K248" i="16"/>
  <c r="J248" i="16"/>
  <c r="I248" i="16"/>
  <c r="G248" i="16"/>
  <c r="K247" i="16"/>
  <c r="J247" i="16"/>
  <c r="I247" i="16"/>
  <c r="G247" i="16"/>
  <c r="K246" i="16"/>
  <c r="J246" i="16"/>
  <c r="I246" i="16"/>
  <c r="G246" i="16"/>
  <c r="K245" i="16"/>
  <c r="J245" i="16"/>
  <c r="I245" i="16"/>
  <c r="G245" i="16"/>
  <c r="K244" i="16"/>
  <c r="J244" i="16"/>
  <c r="I244" i="16"/>
  <c r="G244" i="16"/>
  <c r="K243" i="16"/>
  <c r="J243" i="16"/>
  <c r="I243" i="16"/>
  <c r="G243" i="16"/>
  <c r="K242" i="16"/>
  <c r="J242" i="16"/>
  <c r="I242" i="16"/>
  <c r="G242" i="16"/>
  <c r="K241" i="16"/>
  <c r="J241" i="16"/>
  <c r="I241" i="16"/>
  <c r="G241" i="16"/>
  <c r="K240" i="16"/>
  <c r="J240" i="16"/>
  <c r="I240" i="16"/>
  <c r="G240" i="16"/>
  <c r="K239" i="16"/>
  <c r="J239" i="16"/>
  <c r="I239" i="16"/>
  <c r="G239" i="16"/>
  <c r="K238" i="16"/>
  <c r="J238" i="16"/>
  <c r="I238" i="16"/>
  <c r="G238" i="16"/>
  <c r="K237" i="16"/>
  <c r="J237" i="16"/>
  <c r="I237" i="16"/>
  <c r="G237" i="16"/>
  <c r="K236" i="16"/>
  <c r="J236" i="16"/>
  <c r="I236" i="16"/>
  <c r="G236" i="16"/>
  <c r="K235" i="16"/>
  <c r="J235" i="16"/>
  <c r="I235" i="16"/>
  <c r="G235" i="16"/>
  <c r="K234" i="16"/>
  <c r="J234" i="16"/>
  <c r="I234" i="16"/>
  <c r="G234" i="16"/>
  <c r="K233" i="16"/>
  <c r="J233" i="16"/>
  <c r="I233" i="16"/>
  <c r="G233" i="16"/>
  <c r="K232" i="16"/>
  <c r="J232" i="16"/>
  <c r="I232" i="16"/>
  <c r="G232" i="16"/>
  <c r="K231" i="16"/>
  <c r="J231" i="16"/>
  <c r="I231" i="16"/>
  <c r="G231" i="16"/>
  <c r="K230" i="16"/>
  <c r="J230" i="16"/>
  <c r="I230" i="16"/>
  <c r="G230" i="16"/>
  <c r="K229" i="16"/>
  <c r="J229" i="16"/>
  <c r="I229" i="16"/>
  <c r="G229" i="16"/>
  <c r="K228" i="16"/>
  <c r="J228" i="16"/>
  <c r="I228" i="16"/>
  <c r="G228" i="16"/>
  <c r="K227" i="16"/>
  <c r="J227" i="16"/>
  <c r="I227" i="16"/>
  <c r="G227" i="16"/>
  <c r="K226" i="16"/>
  <c r="J226" i="16"/>
  <c r="I226" i="16"/>
  <c r="G226" i="16"/>
  <c r="K225" i="16"/>
  <c r="J225" i="16"/>
  <c r="I225" i="16"/>
  <c r="G225" i="16"/>
  <c r="K224" i="16"/>
  <c r="J224" i="16"/>
  <c r="I224" i="16"/>
  <c r="G224" i="16"/>
  <c r="K223" i="16"/>
  <c r="J223" i="16"/>
  <c r="I223" i="16"/>
  <c r="G223" i="16"/>
  <c r="K222" i="16"/>
  <c r="J222" i="16"/>
  <c r="I222" i="16"/>
  <c r="G222" i="16"/>
  <c r="K221" i="16"/>
  <c r="J221" i="16"/>
  <c r="I221" i="16"/>
  <c r="G221" i="16"/>
  <c r="K220" i="16"/>
  <c r="J220" i="16"/>
  <c r="I220" i="16"/>
  <c r="G220" i="16"/>
  <c r="K219" i="16"/>
  <c r="J219" i="16"/>
  <c r="I219" i="16"/>
  <c r="G219" i="16"/>
  <c r="K218" i="16"/>
  <c r="J218" i="16"/>
  <c r="I218" i="16"/>
  <c r="G218" i="16"/>
  <c r="K217" i="16"/>
  <c r="J217" i="16"/>
  <c r="I217" i="16"/>
  <c r="G217" i="16"/>
  <c r="K216" i="16"/>
  <c r="J216" i="16"/>
  <c r="I216" i="16"/>
  <c r="G216" i="16"/>
  <c r="K215" i="16"/>
  <c r="J215" i="16"/>
  <c r="I215" i="16"/>
  <c r="G215" i="16"/>
  <c r="K214" i="16"/>
  <c r="J214" i="16"/>
  <c r="I214" i="16"/>
  <c r="G214" i="16"/>
  <c r="K213" i="16"/>
  <c r="J213" i="16"/>
  <c r="I213" i="16"/>
  <c r="G213" i="16"/>
  <c r="K212" i="16"/>
  <c r="J212" i="16"/>
  <c r="I212" i="16"/>
  <c r="G212" i="16"/>
  <c r="K211" i="16"/>
  <c r="J211" i="16"/>
  <c r="I211" i="16"/>
  <c r="G211" i="16"/>
  <c r="K210" i="16"/>
  <c r="J210" i="16"/>
  <c r="I210" i="16"/>
  <c r="G210" i="16"/>
  <c r="K209" i="16"/>
  <c r="J209" i="16"/>
  <c r="I209" i="16"/>
  <c r="G209" i="16"/>
  <c r="K208" i="16"/>
  <c r="J208" i="16"/>
  <c r="I208" i="16"/>
  <c r="G208" i="16"/>
  <c r="K207" i="16"/>
  <c r="J207" i="16"/>
  <c r="I207" i="16"/>
  <c r="G207" i="16"/>
  <c r="K206" i="16"/>
  <c r="J206" i="16"/>
  <c r="I206" i="16"/>
  <c r="G206" i="16"/>
  <c r="K205" i="16"/>
  <c r="J205" i="16"/>
  <c r="I205" i="16"/>
  <c r="G205" i="16"/>
  <c r="K204" i="16"/>
  <c r="J204" i="16"/>
  <c r="I204" i="16"/>
  <c r="G204" i="16"/>
  <c r="K203" i="16"/>
  <c r="J203" i="16"/>
  <c r="I203" i="16"/>
  <c r="G203" i="16"/>
  <c r="K202" i="16"/>
  <c r="J202" i="16"/>
  <c r="I202" i="16"/>
  <c r="G202" i="16"/>
  <c r="K201" i="16"/>
  <c r="J201" i="16"/>
  <c r="I201" i="16"/>
  <c r="G201" i="16"/>
  <c r="K200" i="16"/>
  <c r="J200" i="16"/>
  <c r="I200" i="16"/>
  <c r="G200" i="16"/>
  <c r="K199" i="16"/>
  <c r="J199" i="16"/>
  <c r="I199" i="16"/>
  <c r="G199" i="16"/>
  <c r="K198" i="16"/>
  <c r="J198" i="16"/>
  <c r="I198" i="16"/>
  <c r="G198" i="16"/>
  <c r="K197" i="16"/>
  <c r="J197" i="16"/>
  <c r="I197" i="16"/>
  <c r="G197" i="16"/>
  <c r="K196" i="16"/>
  <c r="J196" i="16"/>
  <c r="I196" i="16"/>
  <c r="G196" i="16"/>
  <c r="K195" i="16"/>
  <c r="J195" i="16"/>
  <c r="I195" i="16"/>
  <c r="G195" i="16"/>
  <c r="K194" i="16"/>
  <c r="J194" i="16"/>
  <c r="I194" i="16"/>
  <c r="G194" i="16"/>
  <c r="K193" i="16"/>
  <c r="J193" i="16"/>
  <c r="I193" i="16"/>
  <c r="G193" i="16"/>
  <c r="K192" i="16"/>
  <c r="J192" i="16"/>
  <c r="I192" i="16"/>
  <c r="G192" i="16"/>
  <c r="K191" i="16"/>
  <c r="J191" i="16"/>
  <c r="I191" i="16"/>
  <c r="G191" i="16"/>
  <c r="K190" i="16"/>
  <c r="J190" i="16"/>
  <c r="I190" i="16"/>
  <c r="G190" i="16"/>
  <c r="K189" i="16"/>
  <c r="J189" i="16"/>
  <c r="I189" i="16"/>
  <c r="G189" i="16"/>
  <c r="K188" i="16"/>
  <c r="J188" i="16"/>
  <c r="I188" i="16"/>
  <c r="G188" i="16"/>
  <c r="K187" i="16"/>
  <c r="J187" i="16"/>
  <c r="I187" i="16"/>
  <c r="G187" i="16"/>
  <c r="K186" i="16"/>
  <c r="J186" i="16"/>
  <c r="I186" i="16"/>
  <c r="G186" i="16"/>
  <c r="K185" i="16"/>
  <c r="J185" i="16"/>
  <c r="I185" i="16"/>
  <c r="G185" i="16"/>
  <c r="K184" i="16"/>
  <c r="J184" i="16"/>
  <c r="I184" i="16"/>
  <c r="G184" i="16"/>
  <c r="K183" i="16"/>
  <c r="J183" i="16"/>
  <c r="I183" i="16"/>
  <c r="G183" i="16"/>
  <c r="K182" i="16"/>
  <c r="J182" i="16"/>
  <c r="I182" i="16"/>
  <c r="G182" i="16"/>
  <c r="K181" i="16"/>
  <c r="J181" i="16"/>
  <c r="I181" i="16"/>
  <c r="G181" i="16"/>
  <c r="K180" i="16"/>
  <c r="J180" i="16"/>
  <c r="I180" i="16"/>
  <c r="G180" i="16"/>
  <c r="K179" i="16"/>
  <c r="J179" i="16"/>
  <c r="I179" i="16"/>
  <c r="G179" i="16"/>
  <c r="K178" i="16"/>
  <c r="J178" i="16"/>
  <c r="I178" i="16"/>
  <c r="G178" i="16"/>
  <c r="K177" i="16"/>
  <c r="J177" i="16"/>
  <c r="I177" i="16"/>
  <c r="G177" i="16"/>
  <c r="K176" i="16"/>
  <c r="J176" i="16"/>
  <c r="I176" i="16"/>
  <c r="G176" i="16"/>
  <c r="K175" i="16"/>
  <c r="J175" i="16"/>
  <c r="I175" i="16"/>
  <c r="G175" i="16"/>
  <c r="K174" i="16"/>
  <c r="J174" i="16"/>
  <c r="I174" i="16"/>
  <c r="G174" i="16"/>
  <c r="K173" i="16"/>
  <c r="J173" i="16"/>
  <c r="I173" i="16"/>
  <c r="G173" i="16"/>
  <c r="K172" i="16"/>
  <c r="J172" i="16"/>
  <c r="I172" i="16"/>
  <c r="G172" i="16"/>
  <c r="K171" i="16"/>
  <c r="J171" i="16"/>
  <c r="I171" i="16"/>
  <c r="G171" i="16"/>
  <c r="K170" i="16"/>
  <c r="J170" i="16"/>
  <c r="I170" i="16"/>
  <c r="G170" i="16"/>
  <c r="K169" i="16"/>
  <c r="J169" i="16"/>
  <c r="I169" i="16"/>
  <c r="G169" i="16"/>
  <c r="K168" i="16"/>
  <c r="J168" i="16"/>
  <c r="I168" i="16"/>
  <c r="G168" i="16"/>
  <c r="K167" i="16"/>
  <c r="J167" i="16"/>
  <c r="I167" i="16"/>
  <c r="G167" i="16"/>
  <c r="K166" i="16"/>
  <c r="J166" i="16"/>
  <c r="I166" i="16"/>
  <c r="G166" i="16"/>
  <c r="K165" i="16"/>
  <c r="J165" i="16"/>
  <c r="I165" i="16"/>
  <c r="G165" i="16"/>
  <c r="K164" i="16"/>
  <c r="J164" i="16"/>
  <c r="I164" i="16"/>
  <c r="G164" i="16"/>
  <c r="K163" i="16"/>
  <c r="J163" i="16"/>
  <c r="I163" i="16"/>
  <c r="G163" i="16"/>
  <c r="K162" i="16"/>
  <c r="J162" i="16"/>
  <c r="I162" i="16"/>
  <c r="G162" i="16"/>
  <c r="K161" i="16"/>
  <c r="J161" i="16"/>
  <c r="I161" i="16"/>
  <c r="G161" i="16"/>
  <c r="K160" i="16"/>
  <c r="J160" i="16"/>
  <c r="I160" i="16"/>
  <c r="G160" i="16"/>
  <c r="K159" i="16"/>
  <c r="J159" i="16"/>
  <c r="I159" i="16"/>
  <c r="G159" i="16"/>
  <c r="K158" i="16"/>
  <c r="J158" i="16"/>
  <c r="I158" i="16"/>
  <c r="G158" i="16"/>
  <c r="K157" i="16"/>
  <c r="J157" i="16"/>
  <c r="I157" i="16"/>
  <c r="G157" i="16"/>
  <c r="K156" i="16"/>
  <c r="J156" i="16"/>
  <c r="I156" i="16"/>
  <c r="G156" i="16"/>
  <c r="K155" i="16"/>
  <c r="J155" i="16"/>
  <c r="I155" i="16"/>
  <c r="G155" i="16"/>
  <c r="K154" i="16"/>
  <c r="J154" i="16"/>
  <c r="I154" i="16"/>
  <c r="G154" i="16"/>
  <c r="K153" i="16"/>
  <c r="J153" i="16"/>
  <c r="I153" i="16"/>
  <c r="G153" i="16"/>
  <c r="K152" i="16"/>
  <c r="J152" i="16"/>
  <c r="I152" i="16"/>
  <c r="G152" i="16"/>
  <c r="K151" i="16"/>
  <c r="J151" i="16"/>
  <c r="I151" i="16"/>
  <c r="G151" i="16"/>
  <c r="K150" i="16"/>
  <c r="J150" i="16"/>
  <c r="I150" i="16"/>
  <c r="G150" i="16"/>
  <c r="K149" i="16"/>
  <c r="J149" i="16"/>
  <c r="I149" i="16"/>
  <c r="G149" i="16"/>
  <c r="K148" i="16"/>
  <c r="J148" i="16"/>
  <c r="I148" i="16"/>
  <c r="G148" i="16"/>
  <c r="K147" i="16"/>
  <c r="J147" i="16"/>
  <c r="I147" i="16"/>
  <c r="G147" i="16"/>
  <c r="K146" i="16"/>
  <c r="J146" i="16"/>
  <c r="I146" i="16"/>
  <c r="G146" i="16"/>
  <c r="K145" i="16"/>
  <c r="J145" i="16"/>
  <c r="I145" i="16"/>
  <c r="G145" i="16"/>
  <c r="K144" i="16"/>
  <c r="J144" i="16"/>
  <c r="I144" i="16"/>
  <c r="G144" i="16"/>
  <c r="K143" i="16"/>
  <c r="J143" i="16"/>
  <c r="I143" i="16"/>
  <c r="G143" i="16"/>
  <c r="K142" i="16"/>
  <c r="J142" i="16"/>
  <c r="I142" i="16"/>
  <c r="G142" i="16"/>
  <c r="K141" i="16"/>
  <c r="J141" i="16"/>
  <c r="I141" i="16"/>
  <c r="G141" i="16"/>
  <c r="K140" i="16"/>
  <c r="J140" i="16"/>
  <c r="I140" i="16"/>
  <c r="G140" i="16"/>
  <c r="K139" i="16"/>
  <c r="J139" i="16"/>
  <c r="I139" i="16"/>
  <c r="G139" i="16"/>
  <c r="K138" i="16"/>
  <c r="J138" i="16"/>
  <c r="I138" i="16"/>
  <c r="G138" i="16"/>
  <c r="K137" i="16"/>
  <c r="J137" i="16"/>
  <c r="I137" i="16"/>
  <c r="G137" i="16"/>
  <c r="K136" i="16"/>
  <c r="J136" i="16"/>
  <c r="I136" i="16"/>
  <c r="G136" i="16"/>
  <c r="K135" i="16"/>
  <c r="J135" i="16"/>
  <c r="I135" i="16"/>
  <c r="G135" i="16"/>
  <c r="K134" i="16"/>
  <c r="J134" i="16"/>
  <c r="I134" i="16"/>
  <c r="G134" i="16"/>
  <c r="K133" i="16"/>
  <c r="J133" i="16"/>
  <c r="I133" i="16"/>
  <c r="G133" i="16"/>
  <c r="K132" i="16"/>
  <c r="J132" i="16"/>
  <c r="I132" i="16"/>
  <c r="G132" i="16"/>
  <c r="K131" i="16"/>
  <c r="J131" i="16"/>
  <c r="I131" i="16"/>
  <c r="G131" i="16"/>
  <c r="K130" i="16"/>
  <c r="J130" i="16"/>
  <c r="I130" i="16"/>
  <c r="G130" i="16"/>
  <c r="K129" i="16"/>
  <c r="J129" i="16"/>
  <c r="I129" i="16"/>
  <c r="G129" i="16"/>
  <c r="K128" i="16"/>
  <c r="J128" i="16"/>
  <c r="I128" i="16"/>
  <c r="G128" i="16"/>
  <c r="K127" i="16"/>
  <c r="J127" i="16"/>
  <c r="I127" i="16"/>
  <c r="G127" i="16"/>
  <c r="K126" i="16"/>
  <c r="J126" i="16"/>
  <c r="I126" i="16"/>
  <c r="G126" i="16"/>
  <c r="K125" i="16"/>
  <c r="J125" i="16"/>
  <c r="I125" i="16"/>
  <c r="G125" i="16"/>
  <c r="K124" i="16"/>
  <c r="J124" i="16"/>
  <c r="I124" i="16"/>
  <c r="G124" i="16"/>
  <c r="K123" i="16"/>
  <c r="J123" i="16"/>
  <c r="I123" i="16"/>
  <c r="G123" i="16"/>
  <c r="K122" i="16"/>
  <c r="J122" i="16"/>
  <c r="I122" i="16"/>
  <c r="G122" i="16"/>
  <c r="K121" i="16"/>
  <c r="J121" i="16"/>
  <c r="I121" i="16"/>
  <c r="G121" i="16"/>
  <c r="K120" i="16"/>
  <c r="J120" i="16"/>
  <c r="I120" i="16"/>
  <c r="G120" i="16"/>
  <c r="K119" i="16"/>
  <c r="J119" i="16"/>
  <c r="I119" i="16"/>
  <c r="G119" i="16"/>
  <c r="K118" i="16"/>
  <c r="J118" i="16"/>
  <c r="I118" i="16"/>
  <c r="G118" i="16"/>
  <c r="K117" i="16"/>
  <c r="J117" i="16"/>
  <c r="I117" i="16"/>
  <c r="G117" i="16"/>
  <c r="K116" i="16"/>
  <c r="J116" i="16"/>
  <c r="I116" i="16"/>
  <c r="G116" i="16"/>
  <c r="K115" i="16"/>
  <c r="J115" i="16"/>
  <c r="I115" i="16"/>
  <c r="G115" i="16"/>
  <c r="K114" i="16"/>
  <c r="J114" i="16"/>
  <c r="I114" i="16"/>
  <c r="G114" i="16"/>
  <c r="K102" i="16"/>
  <c r="J102" i="16"/>
  <c r="I102" i="16"/>
  <c r="G102" i="16"/>
  <c r="K113" i="16"/>
  <c r="J113" i="16"/>
  <c r="I113" i="16"/>
  <c r="G113" i="16"/>
  <c r="K101" i="16"/>
  <c r="J101" i="16"/>
  <c r="I101" i="16"/>
  <c r="G101" i="16"/>
  <c r="K109" i="16"/>
  <c r="J109" i="16"/>
  <c r="I109" i="16"/>
  <c r="G109" i="16"/>
  <c r="K112" i="16"/>
  <c r="J112" i="16"/>
  <c r="I112" i="16"/>
  <c r="G112" i="16"/>
  <c r="K111" i="16"/>
  <c r="J111" i="16"/>
  <c r="I111" i="16"/>
  <c r="G111" i="16"/>
  <c r="K110" i="16"/>
  <c r="J110" i="16"/>
  <c r="I110" i="16"/>
  <c r="G110" i="16"/>
  <c r="K77" i="16"/>
  <c r="J77" i="16"/>
  <c r="I77" i="16"/>
  <c r="G77" i="16"/>
  <c r="K108" i="16"/>
  <c r="J108" i="16"/>
  <c r="I108" i="16"/>
  <c r="G108" i="16"/>
  <c r="K107" i="16"/>
  <c r="J107" i="16"/>
  <c r="I107" i="16"/>
  <c r="G107" i="16"/>
  <c r="K106" i="16"/>
  <c r="J106" i="16"/>
  <c r="I106" i="16"/>
  <c r="G106" i="16"/>
  <c r="K98" i="16"/>
  <c r="J98" i="16"/>
  <c r="I98" i="16"/>
  <c r="G98" i="16"/>
  <c r="K105" i="16"/>
  <c r="J105" i="16"/>
  <c r="I105" i="16"/>
  <c r="G105" i="16"/>
  <c r="K104" i="16"/>
  <c r="J104" i="16"/>
  <c r="I104" i="16"/>
  <c r="G104" i="16"/>
  <c r="K97" i="16"/>
  <c r="J97" i="16"/>
  <c r="I97" i="16"/>
  <c r="G97" i="16"/>
  <c r="K103" i="16"/>
  <c r="J103" i="16"/>
  <c r="I103" i="16"/>
  <c r="G103" i="16"/>
  <c r="K96" i="16"/>
  <c r="J96" i="16"/>
  <c r="I96" i="16"/>
  <c r="G96" i="16"/>
  <c r="K83" i="16"/>
  <c r="J83" i="16"/>
  <c r="I83" i="16"/>
  <c r="G83" i="16"/>
  <c r="K86" i="16"/>
  <c r="J86" i="16"/>
  <c r="I86" i="16"/>
  <c r="G86" i="16"/>
  <c r="K82" i="16"/>
  <c r="J82" i="16"/>
  <c r="I82" i="16"/>
  <c r="G82" i="16"/>
  <c r="K100" i="16"/>
  <c r="J100" i="16"/>
  <c r="I100" i="16"/>
  <c r="G100" i="16"/>
  <c r="K99" i="16"/>
  <c r="J99" i="16"/>
  <c r="I99" i="16"/>
  <c r="G99" i="16"/>
  <c r="K95" i="16"/>
  <c r="J95" i="16"/>
  <c r="I95" i="16"/>
  <c r="G95" i="16"/>
  <c r="K76" i="16"/>
  <c r="J76" i="16"/>
  <c r="I76" i="16"/>
  <c r="G76" i="16"/>
  <c r="K79" i="16"/>
  <c r="J79" i="16"/>
  <c r="I79" i="16"/>
  <c r="G79" i="16"/>
  <c r="K72" i="16"/>
  <c r="J72" i="16"/>
  <c r="I72" i="16"/>
  <c r="G72" i="16"/>
  <c r="K94" i="16"/>
  <c r="J94" i="16"/>
  <c r="I94" i="16"/>
  <c r="G94" i="16"/>
  <c r="K93" i="16"/>
  <c r="J93" i="16"/>
  <c r="I93" i="16"/>
  <c r="G93" i="16"/>
  <c r="K92" i="16"/>
  <c r="J92" i="16"/>
  <c r="I92" i="16"/>
  <c r="G92" i="16"/>
  <c r="K91" i="16"/>
  <c r="J91" i="16"/>
  <c r="I91" i="16"/>
  <c r="G91" i="16"/>
  <c r="K90" i="16"/>
  <c r="J90" i="16"/>
  <c r="I90" i="16"/>
  <c r="G90" i="16"/>
  <c r="K52" i="16"/>
  <c r="J52" i="16"/>
  <c r="I52" i="16"/>
  <c r="G52" i="16"/>
  <c r="K89" i="16"/>
  <c r="J89" i="16"/>
  <c r="I89" i="16"/>
  <c r="G89" i="16"/>
  <c r="K88" i="16"/>
  <c r="J88" i="16"/>
  <c r="I88" i="16"/>
  <c r="G88" i="16"/>
  <c r="K87" i="16"/>
  <c r="J87" i="16"/>
  <c r="I87" i="16"/>
  <c r="G87" i="16"/>
  <c r="K85" i="16"/>
  <c r="J85" i="16"/>
  <c r="I85" i="16"/>
  <c r="G85" i="16"/>
  <c r="K68" i="16"/>
  <c r="J68" i="16"/>
  <c r="I68" i="16"/>
  <c r="G68" i="16"/>
  <c r="K67" i="16"/>
  <c r="J67" i="16"/>
  <c r="I67" i="16"/>
  <c r="G67" i="16"/>
  <c r="K78" i="16"/>
  <c r="J78" i="16"/>
  <c r="I78" i="16"/>
  <c r="G78" i="16"/>
  <c r="K84" i="16"/>
  <c r="J84" i="16"/>
  <c r="I84" i="16"/>
  <c r="G84" i="16"/>
  <c r="K71" i="16"/>
  <c r="J71" i="16"/>
  <c r="I71" i="16"/>
  <c r="G71" i="16"/>
  <c r="K75" i="16"/>
  <c r="J75" i="16"/>
  <c r="I75" i="16"/>
  <c r="G75" i="16"/>
  <c r="K81" i="16"/>
  <c r="J81" i="16"/>
  <c r="I81" i="16"/>
  <c r="G81" i="16"/>
  <c r="K80" i="16"/>
  <c r="J80" i="16"/>
  <c r="I80" i="16"/>
  <c r="G80" i="16"/>
  <c r="K74" i="16"/>
  <c r="J74" i="16"/>
  <c r="I74" i="16"/>
  <c r="G74" i="16"/>
  <c r="K73" i="16"/>
  <c r="J73" i="16"/>
  <c r="I73" i="16"/>
  <c r="G73" i="16"/>
  <c r="K70" i="16"/>
  <c r="J70" i="16"/>
  <c r="I70" i="16"/>
  <c r="G70" i="16"/>
  <c r="K18" i="16"/>
  <c r="J18" i="16"/>
  <c r="I18" i="16"/>
  <c r="G18" i="16"/>
  <c r="K69" i="16"/>
  <c r="J69" i="16"/>
  <c r="I69" i="16"/>
  <c r="G69" i="16"/>
  <c r="K61" i="16"/>
  <c r="J61" i="16"/>
  <c r="I61" i="16"/>
  <c r="G61" i="16"/>
  <c r="K66" i="16"/>
  <c r="J66" i="16"/>
  <c r="I66" i="16"/>
  <c r="G66" i="16"/>
  <c r="K65" i="16"/>
  <c r="J65" i="16"/>
  <c r="I65" i="16"/>
  <c r="G65" i="16"/>
  <c r="K64" i="16"/>
  <c r="J64" i="16"/>
  <c r="I64" i="16"/>
  <c r="G64" i="16"/>
  <c r="K57" i="16"/>
  <c r="J57" i="16"/>
  <c r="I57" i="16"/>
  <c r="G57" i="16"/>
  <c r="K59" i="16"/>
  <c r="J59" i="16"/>
  <c r="I59" i="16"/>
  <c r="G59" i="16"/>
  <c r="K60" i="16"/>
  <c r="J60" i="16"/>
  <c r="I60" i="16"/>
  <c r="G60" i="16"/>
  <c r="K58" i="16"/>
  <c r="J58" i="16"/>
  <c r="I58" i="16"/>
  <c r="G58" i="16"/>
  <c r="K63" i="16"/>
  <c r="J63" i="16"/>
  <c r="I63" i="16"/>
  <c r="G63" i="16"/>
  <c r="K42" i="16"/>
  <c r="J42" i="16"/>
  <c r="I42" i="16"/>
  <c r="G42" i="16"/>
  <c r="K62" i="16"/>
  <c r="J62" i="16"/>
  <c r="I62" i="16"/>
  <c r="G62" i="16"/>
  <c r="K49" i="16"/>
  <c r="J49" i="16"/>
  <c r="I49" i="16"/>
  <c r="G49" i="16"/>
  <c r="K47" i="16"/>
  <c r="J47" i="16"/>
  <c r="I47" i="16"/>
  <c r="G47" i="16"/>
  <c r="K55" i="16"/>
  <c r="J55" i="16"/>
  <c r="I55" i="16"/>
  <c r="G55" i="16"/>
  <c r="K56" i="16"/>
  <c r="J56" i="16"/>
  <c r="I56" i="16"/>
  <c r="G56" i="16"/>
  <c r="K54" i="16"/>
  <c r="J54" i="16"/>
  <c r="I54" i="16"/>
  <c r="G54" i="16"/>
  <c r="K53" i="16"/>
  <c r="J53" i="16"/>
  <c r="I53" i="16"/>
  <c r="G53" i="16"/>
  <c r="K51" i="16"/>
  <c r="J51" i="16"/>
  <c r="I51" i="16"/>
  <c r="G51" i="16"/>
  <c r="K50" i="16"/>
  <c r="J50" i="16"/>
  <c r="I50" i="16"/>
  <c r="G50" i="16"/>
  <c r="K38" i="16"/>
  <c r="J38" i="16"/>
  <c r="I38" i="16"/>
  <c r="G38" i="16"/>
  <c r="K48" i="16"/>
  <c r="J48" i="16"/>
  <c r="I48" i="16"/>
  <c r="G48" i="16"/>
  <c r="K44" i="16"/>
  <c r="J44" i="16"/>
  <c r="I44" i="16"/>
  <c r="G44" i="16"/>
  <c r="K46" i="16"/>
  <c r="J46" i="16"/>
  <c r="I46" i="16"/>
  <c r="G46" i="16"/>
  <c r="K45" i="16"/>
  <c r="J45" i="16"/>
  <c r="I45" i="16"/>
  <c r="G45" i="16"/>
  <c r="AF43" i="16"/>
  <c r="K43" i="16"/>
  <c r="J43" i="16"/>
  <c r="I43" i="16"/>
  <c r="G43" i="16"/>
  <c r="K41" i="16"/>
  <c r="J41" i="16"/>
  <c r="I41" i="16"/>
  <c r="G41" i="16"/>
  <c r="K35" i="16"/>
  <c r="J35" i="16"/>
  <c r="I35" i="16"/>
  <c r="G35" i="16"/>
  <c r="K40" i="16"/>
  <c r="J40" i="16"/>
  <c r="I40" i="16"/>
  <c r="G40" i="16"/>
  <c r="K39" i="16"/>
  <c r="J39" i="16"/>
  <c r="I39" i="16"/>
  <c r="G39" i="16"/>
  <c r="K19" i="16"/>
  <c r="J19" i="16"/>
  <c r="I19" i="16"/>
  <c r="G19" i="16"/>
  <c r="K14" i="16"/>
  <c r="J14" i="16"/>
  <c r="I14" i="16"/>
  <c r="G14" i="16"/>
  <c r="K36" i="16"/>
  <c r="J36" i="16"/>
  <c r="I36" i="16"/>
  <c r="G36" i="16"/>
  <c r="K37" i="16"/>
  <c r="J37" i="16"/>
  <c r="I37" i="16"/>
  <c r="G37" i="16"/>
  <c r="AG21" i="16"/>
  <c r="K21" i="16"/>
  <c r="J21" i="16"/>
  <c r="I21" i="16"/>
  <c r="G21" i="16"/>
  <c r="K34" i="16"/>
  <c r="J34" i="16"/>
  <c r="I34" i="16"/>
  <c r="G34" i="16"/>
  <c r="K7" i="16"/>
  <c r="J7" i="16"/>
  <c r="I7" i="16"/>
  <c r="G7" i="16"/>
  <c r="K12" i="16"/>
  <c r="J12" i="16"/>
  <c r="I12" i="16"/>
  <c r="G12" i="16"/>
  <c r="K26" i="16"/>
  <c r="J26" i="16"/>
  <c r="I26" i="16"/>
  <c r="G26" i="16"/>
  <c r="K25" i="16"/>
  <c r="J25" i="16"/>
  <c r="I25" i="16"/>
  <c r="G25" i="16"/>
  <c r="K33" i="16"/>
  <c r="J33" i="16"/>
  <c r="I33" i="16"/>
  <c r="G33" i="16"/>
  <c r="K27" i="16"/>
  <c r="J27" i="16"/>
  <c r="I27" i="16"/>
  <c r="G27" i="16"/>
  <c r="K31" i="16"/>
  <c r="J31" i="16"/>
  <c r="I31" i="16"/>
  <c r="G31" i="16"/>
  <c r="K32" i="16"/>
  <c r="J32" i="16"/>
  <c r="I32" i="16"/>
  <c r="G32" i="16"/>
  <c r="K30" i="16"/>
  <c r="J30" i="16"/>
  <c r="I30" i="16"/>
  <c r="G30" i="16"/>
  <c r="K29" i="16"/>
  <c r="J29" i="16"/>
  <c r="I29" i="16"/>
  <c r="G29" i="16"/>
  <c r="K24" i="16"/>
  <c r="J24" i="16"/>
  <c r="I24" i="16"/>
  <c r="G24" i="16"/>
  <c r="K28" i="16"/>
  <c r="J28" i="16"/>
  <c r="I28" i="16"/>
  <c r="G28" i="16"/>
  <c r="K23" i="16"/>
  <c r="J23" i="16"/>
  <c r="I23" i="16"/>
  <c r="G23" i="16"/>
  <c r="K22" i="16"/>
  <c r="J22" i="16"/>
  <c r="I22" i="16"/>
  <c r="G22" i="16"/>
  <c r="K13" i="16"/>
  <c r="J13" i="16"/>
  <c r="I13" i="16"/>
  <c r="G13" i="16"/>
  <c r="K20" i="16"/>
  <c r="J20" i="16"/>
  <c r="I20" i="16"/>
  <c r="G20" i="16"/>
  <c r="K17" i="16"/>
  <c r="J17" i="16"/>
  <c r="I17" i="16"/>
  <c r="G17" i="16"/>
  <c r="K5" i="16"/>
  <c r="J5" i="16"/>
  <c r="I5" i="16"/>
  <c r="G5" i="16"/>
  <c r="K16" i="16"/>
  <c r="J16" i="16"/>
  <c r="I16" i="16"/>
  <c r="G16" i="16"/>
  <c r="K15" i="16"/>
  <c r="J15" i="16"/>
  <c r="I15" i="16"/>
  <c r="G15" i="16"/>
  <c r="K10" i="16"/>
  <c r="J10" i="16"/>
  <c r="I10" i="16"/>
  <c r="G10" i="16"/>
  <c r="K11" i="16"/>
  <c r="J11" i="16"/>
  <c r="I11" i="16"/>
  <c r="G11" i="16"/>
  <c r="K9" i="16"/>
  <c r="J9" i="16"/>
  <c r="I9" i="16"/>
  <c r="G9" i="16"/>
  <c r="K8" i="16"/>
  <c r="J8" i="16"/>
  <c r="I8" i="16"/>
  <c r="G8" i="16"/>
  <c r="K6" i="16"/>
  <c r="J6" i="16"/>
  <c r="I6" i="16"/>
  <c r="G6" i="16"/>
  <c r="K2" i="16"/>
  <c r="J2" i="16"/>
  <c r="I2" i="16"/>
  <c r="G2" i="16"/>
  <c r="K3" i="16"/>
  <c r="J3" i="16"/>
  <c r="I3" i="16"/>
  <c r="G3" i="16"/>
  <c r="K4" i="16"/>
  <c r="J4" i="16"/>
  <c r="I4" i="16"/>
  <c r="G4" i="16"/>
  <c r="J51" i="15"/>
  <c r="I51" i="15"/>
  <c r="H51" i="15"/>
  <c r="G51" i="15"/>
  <c r="J50" i="15"/>
  <c r="I50" i="15"/>
  <c r="H50" i="15"/>
  <c r="G50" i="15"/>
  <c r="J49" i="15"/>
  <c r="I49" i="15"/>
  <c r="H49" i="15"/>
  <c r="G49" i="15"/>
  <c r="J48" i="15"/>
  <c r="I48" i="15"/>
  <c r="H48" i="15"/>
  <c r="G48" i="15"/>
  <c r="J47" i="15"/>
  <c r="I47" i="15"/>
  <c r="H47" i="15"/>
  <c r="G47" i="15"/>
  <c r="J46" i="15"/>
  <c r="I46" i="15"/>
  <c r="H46" i="15"/>
  <c r="G46" i="15"/>
  <c r="J45" i="15"/>
  <c r="I45" i="15"/>
  <c r="H45" i="15"/>
  <c r="G45" i="15"/>
  <c r="J44" i="15"/>
  <c r="I44" i="15"/>
  <c r="H44" i="15"/>
  <c r="G44" i="15"/>
  <c r="J43" i="15"/>
  <c r="I43" i="15"/>
  <c r="H43" i="15"/>
  <c r="G43" i="15"/>
  <c r="J42" i="15"/>
  <c r="I42" i="15"/>
  <c r="H42" i="15"/>
  <c r="G42" i="15"/>
  <c r="J41" i="15"/>
  <c r="I41" i="15"/>
  <c r="H41" i="15"/>
  <c r="G41" i="15"/>
  <c r="AE40" i="15"/>
  <c r="J40" i="15"/>
  <c r="I40" i="15"/>
  <c r="H40" i="15"/>
  <c r="G40" i="15"/>
  <c r="J39" i="15"/>
  <c r="I39" i="15"/>
  <c r="H39" i="15"/>
  <c r="G39" i="15"/>
  <c r="J38" i="15"/>
  <c r="I38" i="15"/>
  <c r="H38" i="15"/>
  <c r="G38" i="15"/>
  <c r="J37" i="15"/>
  <c r="I37" i="15"/>
  <c r="H37" i="15"/>
  <c r="G37" i="15"/>
  <c r="J36" i="15"/>
  <c r="I36" i="15"/>
  <c r="H36" i="15"/>
  <c r="G36" i="15"/>
  <c r="J35" i="15"/>
  <c r="I35" i="15"/>
  <c r="H35" i="15"/>
  <c r="G35" i="15"/>
  <c r="J34" i="15"/>
  <c r="I34" i="15"/>
  <c r="H34" i="15"/>
  <c r="G34" i="15"/>
  <c r="J33" i="15"/>
  <c r="I33" i="15"/>
  <c r="H33" i="15"/>
  <c r="G33" i="15"/>
  <c r="J32" i="15"/>
  <c r="I32" i="15"/>
  <c r="H32" i="15"/>
  <c r="G32" i="15"/>
  <c r="AF31" i="15"/>
  <c r="J31" i="15"/>
  <c r="I31" i="15"/>
  <c r="H31" i="15"/>
  <c r="G31" i="15"/>
  <c r="J30" i="15"/>
  <c r="I30" i="15"/>
  <c r="H30" i="15"/>
  <c r="G30" i="15"/>
  <c r="J29" i="15"/>
  <c r="I29" i="15"/>
  <c r="H29" i="15"/>
  <c r="G29" i="15"/>
  <c r="J28" i="15"/>
  <c r="I28" i="15"/>
  <c r="H28" i="15"/>
  <c r="G28" i="15"/>
  <c r="J27" i="15"/>
  <c r="I27" i="15"/>
  <c r="H27" i="15"/>
  <c r="G27" i="15"/>
  <c r="J26" i="15"/>
  <c r="I26" i="15"/>
  <c r="H26" i="15"/>
  <c r="G26" i="15"/>
  <c r="J25" i="15"/>
  <c r="I25" i="15"/>
  <c r="H25" i="15"/>
  <c r="G25" i="15"/>
  <c r="J24" i="15"/>
  <c r="I24" i="15"/>
  <c r="H24" i="15"/>
  <c r="G24" i="15"/>
  <c r="J23" i="15"/>
  <c r="I23" i="15"/>
  <c r="H23" i="15"/>
  <c r="G23" i="15"/>
  <c r="J22" i="15"/>
  <c r="I22" i="15"/>
  <c r="H22" i="15"/>
  <c r="G22" i="15"/>
  <c r="J21" i="15"/>
  <c r="I21" i="15"/>
  <c r="H21" i="15"/>
  <c r="G21" i="15"/>
  <c r="J20" i="15"/>
  <c r="I20" i="15"/>
  <c r="H20" i="15"/>
  <c r="G20" i="15"/>
  <c r="J19" i="15"/>
  <c r="I19" i="15"/>
  <c r="H19" i="15"/>
  <c r="G19" i="15"/>
  <c r="J18" i="15"/>
  <c r="I18" i="15"/>
  <c r="H18" i="15"/>
  <c r="G18" i="15"/>
  <c r="J17" i="15"/>
  <c r="I17" i="15"/>
  <c r="H17" i="15"/>
  <c r="G17" i="15"/>
  <c r="J16" i="15"/>
  <c r="I16" i="15"/>
  <c r="H16" i="15"/>
  <c r="G16" i="15"/>
  <c r="J15" i="15"/>
  <c r="I15" i="15"/>
  <c r="H15" i="15"/>
  <c r="G15" i="15"/>
  <c r="J14" i="15"/>
  <c r="I14" i="15"/>
  <c r="H14" i="15"/>
  <c r="G14" i="15"/>
  <c r="J13" i="15"/>
  <c r="I13" i="15"/>
  <c r="H13" i="15"/>
  <c r="G13" i="15"/>
  <c r="J12" i="15"/>
  <c r="I12" i="15"/>
  <c r="H12" i="15"/>
  <c r="G12" i="15"/>
  <c r="J11" i="15"/>
  <c r="I11" i="15"/>
  <c r="H11" i="15"/>
  <c r="G11" i="15"/>
  <c r="J10" i="15"/>
  <c r="I10" i="15"/>
  <c r="H10" i="15"/>
  <c r="G10" i="15"/>
  <c r="J9" i="15"/>
  <c r="I9" i="15"/>
  <c r="H9" i="15"/>
  <c r="G9" i="15"/>
  <c r="J8" i="15"/>
  <c r="I8" i="15"/>
  <c r="H8" i="15"/>
  <c r="G8" i="15"/>
  <c r="J7" i="15"/>
  <c r="I7" i="15"/>
  <c r="H7" i="15"/>
  <c r="G7" i="15"/>
  <c r="J6" i="15"/>
  <c r="I6" i="15"/>
  <c r="H6" i="15"/>
  <c r="G6" i="15"/>
  <c r="J5" i="15"/>
  <c r="I5" i="15"/>
  <c r="H5" i="15"/>
  <c r="G5" i="15"/>
  <c r="J4" i="15"/>
  <c r="I4" i="15"/>
  <c r="H4" i="15"/>
  <c r="G4" i="15"/>
  <c r="J3" i="15"/>
  <c r="I3" i="15"/>
  <c r="H3" i="15"/>
  <c r="G3" i="15"/>
  <c r="J2" i="15"/>
  <c r="I2" i="15"/>
  <c r="H2" i="15"/>
  <c r="G2" i="15"/>
  <c r="J246" i="13"/>
  <c r="I246" i="13"/>
  <c r="H246" i="13"/>
  <c r="G246" i="13"/>
  <c r="J245" i="13"/>
  <c r="I245" i="13"/>
  <c r="H245" i="13"/>
  <c r="G245" i="13"/>
  <c r="J244" i="13"/>
  <c r="I244" i="13"/>
  <c r="H244" i="13"/>
  <c r="G244" i="13"/>
  <c r="J243" i="13"/>
  <c r="I243" i="13"/>
  <c r="H243" i="13"/>
  <c r="G243" i="13"/>
  <c r="J242" i="13"/>
  <c r="I242" i="13"/>
  <c r="H242" i="13"/>
  <c r="G242" i="13"/>
  <c r="J241" i="13"/>
  <c r="I241" i="13"/>
  <c r="H241" i="13"/>
  <c r="G241" i="13"/>
  <c r="J240" i="13"/>
  <c r="I240" i="13"/>
  <c r="H240" i="13"/>
  <c r="G240" i="13"/>
  <c r="J239" i="13"/>
  <c r="I239" i="13"/>
  <c r="H239" i="13"/>
  <c r="G239" i="13"/>
  <c r="J238" i="13"/>
  <c r="I238" i="13"/>
  <c r="H238" i="13"/>
  <c r="G238" i="13"/>
  <c r="J237" i="13"/>
  <c r="I237" i="13"/>
  <c r="H237" i="13"/>
  <c r="G237" i="13"/>
  <c r="J236" i="13"/>
  <c r="I236" i="13"/>
  <c r="H236" i="13"/>
  <c r="G236" i="13"/>
  <c r="J235" i="13"/>
  <c r="I235" i="13"/>
  <c r="H235" i="13"/>
  <c r="G235" i="13"/>
  <c r="J234" i="13"/>
  <c r="I234" i="13"/>
  <c r="H234" i="13"/>
  <c r="G234" i="13"/>
  <c r="J233" i="13"/>
  <c r="I233" i="13"/>
  <c r="H233" i="13"/>
  <c r="G233" i="13"/>
  <c r="J232" i="13"/>
  <c r="I232" i="13"/>
  <c r="H232" i="13"/>
  <c r="G232" i="13"/>
  <c r="J231" i="13"/>
  <c r="I231" i="13"/>
  <c r="H231" i="13"/>
  <c r="G231" i="13"/>
  <c r="J230" i="13"/>
  <c r="I230" i="13"/>
  <c r="H230" i="13"/>
  <c r="G230" i="13"/>
  <c r="J229" i="13"/>
  <c r="I229" i="13"/>
  <c r="H229" i="13"/>
  <c r="G229" i="13"/>
  <c r="J228" i="13"/>
  <c r="I228" i="13"/>
  <c r="H228" i="13"/>
  <c r="G228" i="13"/>
  <c r="J227" i="13"/>
  <c r="I227" i="13"/>
  <c r="H227" i="13"/>
  <c r="G227" i="13"/>
  <c r="J226" i="13"/>
  <c r="I226" i="13"/>
  <c r="H226" i="13"/>
  <c r="G226" i="13"/>
  <c r="J225" i="13"/>
  <c r="I225" i="13"/>
  <c r="H225" i="13"/>
  <c r="G225" i="13"/>
  <c r="J224" i="13"/>
  <c r="I224" i="13"/>
  <c r="H224" i="13"/>
  <c r="G224" i="13"/>
  <c r="J223" i="13"/>
  <c r="I223" i="13"/>
  <c r="H223" i="13"/>
  <c r="G223" i="13"/>
  <c r="J222" i="13"/>
  <c r="I222" i="13"/>
  <c r="H222" i="13"/>
  <c r="G222" i="13"/>
  <c r="J221" i="13"/>
  <c r="I221" i="13"/>
  <c r="H221" i="13"/>
  <c r="G221" i="13"/>
  <c r="J220" i="13"/>
  <c r="I220" i="13"/>
  <c r="H220" i="13"/>
  <c r="G220" i="13"/>
  <c r="J219" i="13"/>
  <c r="I219" i="13"/>
  <c r="H219" i="13"/>
  <c r="G219" i="13"/>
  <c r="J218" i="13"/>
  <c r="I218" i="13"/>
  <c r="H218" i="13"/>
  <c r="G218" i="13"/>
  <c r="J217" i="13"/>
  <c r="I217" i="13"/>
  <c r="H217" i="13"/>
  <c r="G217" i="13"/>
  <c r="J216" i="13"/>
  <c r="I216" i="13"/>
  <c r="H216" i="13"/>
  <c r="G216" i="13"/>
  <c r="J215" i="13"/>
  <c r="I215" i="13"/>
  <c r="H215" i="13"/>
  <c r="G215" i="13"/>
  <c r="J214" i="13"/>
  <c r="I214" i="13"/>
  <c r="H214" i="13"/>
  <c r="G214" i="13"/>
  <c r="J213" i="13"/>
  <c r="I213" i="13"/>
  <c r="H213" i="13"/>
  <c r="G213" i="13"/>
  <c r="J212" i="13"/>
  <c r="I212" i="13"/>
  <c r="H212" i="13"/>
  <c r="G212" i="13"/>
  <c r="J211" i="13"/>
  <c r="I211" i="13"/>
  <c r="H211" i="13"/>
  <c r="G211" i="13"/>
  <c r="J210" i="13"/>
  <c r="I210" i="13"/>
  <c r="H210" i="13"/>
  <c r="G210" i="13"/>
  <c r="J209" i="13"/>
  <c r="I209" i="13"/>
  <c r="H209" i="13"/>
  <c r="G209" i="13"/>
  <c r="J208" i="13"/>
  <c r="I208" i="13"/>
  <c r="H208" i="13"/>
  <c r="G208" i="13"/>
  <c r="J207" i="13"/>
  <c r="I207" i="13"/>
  <c r="H207" i="13"/>
  <c r="G207" i="13"/>
  <c r="J206" i="13"/>
  <c r="I206" i="13"/>
  <c r="H206" i="13"/>
  <c r="G206" i="13"/>
  <c r="J205" i="13"/>
  <c r="I205" i="13"/>
  <c r="H205" i="13"/>
  <c r="G205" i="13"/>
  <c r="J204" i="13"/>
  <c r="I204" i="13"/>
  <c r="H204" i="13"/>
  <c r="G204" i="13"/>
  <c r="J203" i="13"/>
  <c r="I203" i="13"/>
  <c r="H203" i="13"/>
  <c r="G203" i="13"/>
  <c r="J202" i="13"/>
  <c r="I202" i="13"/>
  <c r="H202" i="13"/>
  <c r="G202" i="13"/>
  <c r="J201" i="13"/>
  <c r="I201" i="13"/>
  <c r="H201" i="13"/>
  <c r="G201" i="13"/>
  <c r="J200" i="13"/>
  <c r="I200" i="13"/>
  <c r="H200" i="13"/>
  <c r="G200" i="13"/>
  <c r="J199" i="13"/>
  <c r="I199" i="13"/>
  <c r="H199" i="13"/>
  <c r="G199" i="13"/>
  <c r="J198" i="13"/>
  <c r="I198" i="13"/>
  <c r="H198" i="13"/>
  <c r="G198" i="13"/>
  <c r="J197" i="13"/>
  <c r="I197" i="13"/>
  <c r="H197" i="13"/>
  <c r="G197" i="13"/>
  <c r="J196" i="13"/>
  <c r="I196" i="13"/>
  <c r="H196" i="13"/>
  <c r="G196" i="13"/>
  <c r="J195" i="13"/>
  <c r="I195" i="13"/>
  <c r="H195" i="13"/>
  <c r="G195" i="13"/>
  <c r="J194" i="13"/>
  <c r="I194" i="13"/>
  <c r="H194" i="13"/>
  <c r="G194" i="13"/>
  <c r="J193" i="13"/>
  <c r="I193" i="13"/>
  <c r="H193" i="13"/>
  <c r="G193" i="13"/>
  <c r="J192" i="13"/>
  <c r="I192" i="13"/>
  <c r="H192" i="13"/>
  <c r="G192" i="13"/>
  <c r="J191" i="13"/>
  <c r="I191" i="13"/>
  <c r="H191" i="13"/>
  <c r="G191" i="13"/>
  <c r="J190" i="13"/>
  <c r="I190" i="13"/>
  <c r="H190" i="13"/>
  <c r="G190" i="13"/>
  <c r="J189" i="13"/>
  <c r="I189" i="13"/>
  <c r="H189" i="13"/>
  <c r="G189" i="13"/>
  <c r="J188" i="13"/>
  <c r="I188" i="13"/>
  <c r="H188" i="13"/>
  <c r="G188" i="13"/>
  <c r="J187" i="13"/>
  <c r="I187" i="13"/>
  <c r="H187" i="13"/>
  <c r="G187" i="13"/>
  <c r="J186" i="13"/>
  <c r="I186" i="13"/>
  <c r="H186" i="13"/>
  <c r="G186" i="13"/>
  <c r="J185" i="13"/>
  <c r="I185" i="13"/>
  <c r="H185" i="13"/>
  <c r="G185" i="13"/>
  <c r="J184" i="13"/>
  <c r="I184" i="13"/>
  <c r="H184" i="13"/>
  <c r="G184" i="13"/>
  <c r="J183" i="13"/>
  <c r="I183" i="13"/>
  <c r="H183" i="13"/>
  <c r="G183" i="13"/>
  <c r="J182" i="13"/>
  <c r="I182" i="13"/>
  <c r="H182" i="13"/>
  <c r="G182" i="13"/>
  <c r="J181" i="13"/>
  <c r="I181" i="13"/>
  <c r="H181" i="13"/>
  <c r="G181" i="13"/>
  <c r="J180" i="13"/>
  <c r="I180" i="13"/>
  <c r="H180" i="13"/>
  <c r="G180" i="13"/>
  <c r="J179" i="13"/>
  <c r="I179" i="13"/>
  <c r="H179" i="13"/>
  <c r="G179" i="13"/>
  <c r="J178" i="13"/>
  <c r="I178" i="13"/>
  <c r="H178" i="13"/>
  <c r="G178" i="13"/>
  <c r="J177" i="13"/>
  <c r="I177" i="13"/>
  <c r="H177" i="13"/>
  <c r="G177" i="13"/>
  <c r="J176" i="13"/>
  <c r="I176" i="13"/>
  <c r="H176" i="13"/>
  <c r="G176" i="13"/>
  <c r="J175" i="13"/>
  <c r="I175" i="13"/>
  <c r="H175" i="13"/>
  <c r="G175" i="13"/>
  <c r="J174" i="13"/>
  <c r="I174" i="13"/>
  <c r="H174" i="13"/>
  <c r="G174" i="13"/>
  <c r="J173" i="13"/>
  <c r="I173" i="13"/>
  <c r="H173" i="13"/>
  <c r="G173" i="13"/>
  <c r="J172" i="13"/>
  <c r="I172" i="13"/>
  <c r="H172" i="13"/>
  <c r="G172" i="13"/>
  <c r="J171" i="13"/>
  <c r="I171" i="13"/>
  <c r="H171" i="13"/>
  <c r="G171" i="13"/>
  <c r="J170" i="13"/>
  <c r="I170" i="13"/>
  <c r="H170" i="13"/>
  <c r="G170" i="13"/>
  <c r="J169" i="13"/>
  <c r="I169" i="13"/>
  <c r="H169" i="13"/>
  <c r="G169" i="13"/>
  <c r="J168" i="13"/>
  <c r="I168" i="13"/>
  <c r="H168" i="13"/>
  <c r="G168" i="13"/>
  <c r="J167" i="13"/>
  <c r="I167" i="13"/>
  <c r="H167" i="13"/>
  <c r="G167" i="13"/>
  <c r="J166" i="13"/>
  <c r="I166" i="13"/>
  <c r="H166" i="13"/>
  <c r="G166" i="13"/>
  <c r="J165" i="13"/>
  <c r="I165" i="13"/>
  <c r="H165" i="13"/>
  <c r="G165" i="13"/>
  <c r="J164" i="13"/>
  <c r="I164" i="13"/>
  <c r="H164" i="13"/>
  <c r="G164" i="13"/>
  <c r="J163" i="13"/>
  <c r="I163" i="13"/>
  <c r="H163" i="13"/>
  <c r="G163" i="13"/>
  <c r="J162" i="13"/>
  <c r="I162" i="13"/>
  <c r="H162" i="13"/>
  <c r="G162" i="13"/>
  <c r="J161" i="13"/>
  <c r="I161" i="13"/>
  <c r="H161" i="13"/>
  <c r="G161" i="13"/>
  <c r="J160" i="13"/>
  <c r="I160" i="13"/>
  <c r="H160" i="13"/>
  <c r="G160" i="13"/>
  <c r="J159" i="13"/>
  <c r="I159" i="13"/>
  <c r="H159" i="13"/>
  <c r="G159" i="13"/>
  <c r="J158" i="13"/>
  <c r="I158" i="13"/>
  <c r="H158" i="13"/>
  <c r="G158" i="13"/>
  <c r="J157" i="13"/>
  <c r="I157" i="13"/>
  <c r="H157" i="13"/>
  <c r="G157" i="13"/>
  <c r="J156" i="13"/>
  <c r="I156" i="13"/>
  <c r="H156" i="13"/>
  <c r="G156" i="13"/>
  <c r="J155" i="13"/>
  <c r="I155" i="13"/>
  <c r="H155" i="13"/>
  <c r="G155" i="13"/>
  <c r="J154" i="13"/>
  <c r="I154" i="13"/>
  <c r="H154" i="13"/>
  <c r="G154" i="13"/>
  <c r="J153" i="13"/>
  <c r="I153" i="13"/>
  <c r="H153" i="13"/>
  <c r="G153" i="13"/>
  <c r="J152" i="13"/>
  <c r="I152" i="13"/>
  <c r="H152" i="13"/>
  <c r="G152" i="13"/>
  <c r="J151" i="13"/>
  <c r="I151" i="13"/>
  <c r="H151" i="13"/>
  <c r="G151" i="13"/>
  <c r="J150" i="13"/>
  <c r="I150" i="13"/>
  <c r="H150" i="13"/>
  <c r="G150" i="13"/>
  <c r="J149" i="13"/>
  <c r="I149" i="13"/>
  <c r="H149" i="13"/>
  <c r="G149" i="13"/>
  <c r="J148" i="13"/>
  <c r="I148" i="13"/>
  <c r="H148" i="13"/>
  <c r="G148" i="13"/>
  <c r="J147" i="13"/>
  <c r="I147" i="13"/>
  <c r="H147" i="13"/>
  <c r="G147" i="13"/>
  <c r="J146" i="13"/>
  <c r="I146" i="13"/>
  <c r="H146" i="13"/>
  <c r="G146" i="13"/>
  <c r="J145" i="13"/>
  <c r="I145" i="13"/>
  <c r="H145" i="13"/>
  <c r="G145" i="13"/>
  <c r="J144" i="13"/>
  <c r="I144" i="13"/>
  <c r="H144" i="13"/>
  <c r="G144" i="13"/>
  <c r="J143" i="13"/>
  <c r="I143" i="13"/>
  <c r="H143" i="13"/>
  <c r="G143" i="13"/>
  <c r="J142" i="13"/>
  <c r="I142" i="13"/>
  <c r="H142" i="13"/>
  <c r="G142" i="13"/>
  <c r="J141" i="13"/>
  <c r="I141" i="13"/>
  <c r="H141" i="13"/>
  <c r="G141" i="13"/>
  <c r="J140" i="13"/>
  <c r="I140" i="13"/>
  <c r="H140" i="13"/>
  <c r="G140" i="13"/>
  <c r="J139" i="13"/>
  <c r="I139" i="13"/>
  <c r="H139" i="13"/>
  <c r="G139" i="13"/>
  <c r="J138" i="13"/>
  <c r="I138" i="13"/>
  <c r="H138" i="13"/>
  <c r="G138" i="13"/>
  <c r="J137" i="13"/>
  <c r="I137" i="13"/>
  <c r="H137" i="13"/>
  <c r="G137" i="13"/>
  <c r="J136" i="13"/>
  <c r="I136" i="13"/>
  <c r="H136" i="13"/>
  <c r="G136" i="13"/>
  <c r="J135" i="13"/>
  <c r="I135" i="13"/>
  <c r="H135" i="13"/>
  <c r="G135" i="13"/>
  <c r="J134" i="13"/>
  <c r="I134" i="13"/>
  <c r="H134" i="13"/>
  <c r="G134" i="13"/>
  <c r="J133" i="13"/>
  <c r="I133" i="13"/>
  <c r="H133" i="13"/>
  <c r="G133" i="13"/>
  <c r="J132" i="13"/>
  <c r="I132" i="13"/>
  <c r="H132" i="13"/>
  <c r="G132" i="13"/>
  <c r="J131" i="13"/>
  <c r="I131" i="13"/>
  <c r="H131" i="13"/>
  <c r="G131" i="13"/>
  <c r="J130" i="13"/>
  <c r="I130" i="13"/>
  <c r="H130" i="13"/>
  <c r="G130" i="13"/>
  <c r="J129" i="13"/>
  <c r="I129" i="13"/>
  <c r="H129" i="13"/>
  <c r="G129" i="13"/>
  <c r="J128" i="13"/>
  <c r="I128" i="13"/>
  <c r="H128" i="13"/>
  <c r="G128" i="13"/>
  <c r="J127" i="13"/>
  <c r="I127" i="13"/>
  <c r="H127" i="13"/>
  <c r="G127" i="13"/>
  <c r="J126" i="13"/>
  <c r="I126" i="13"/>
  <c r="H126" i="13"/>
  <c r="G126" i="13"/>
  <c r="J125" i="13"/>
  <c r="I125" i="13"/>
  <c r="H125" i="13"/>
  <c r="G125" i="13"/>
  <c r="J124" i="13"/>
  <c r="I124" i="13"/>
  <c r="H124" i="13"/>
  <c r="G124" i="13"/>
  <c r="J123" i="13"/>
  <c r="I123" i="13"/>
  <c r="H123" i="13"/>
  <c r="G123" i="13"/>
  <c r="J122" i="13"/>
  <c r="I122" i="13"/>
  <c r="H122" i="13"/>
  <c r="G122" i="13"/>
  <c r="J121" i="13"/>
  <c r="I121" i="13"/>
  <c r="H121" i="13"/>
  <c r="G121" i="13"/>
  <c r="J120" i="13"/>
  <c r="I120" i="13"/>
  <c r="H120" i="13"/>
  <c r="G120" i="13"/>
  <c r="J119" i="13"/>
  <c r="I119" i="13"/>
  <c r="H119" i="13"/>
  <c r="G119" i="13"/>
  <c r="J118" i="13"/>
  <c r="I118" i="13"/>
  <c r="H118" i="13"/>
  <c r="G118" i="13"/>
  <c r="J117" i="13"/>
  <c r="I117" i="13"/>
  <c r="H117" i="13"/>
  <c r="G117" i="13"/>
  <c r="J116" i="13"/>
  <c r="I116" i="13"/>
  <c r="H116" i="13"/>
  <c r="G116" i="13"/>
  <c r="J115" i="13"/>
  <c r="I115" i="13"/>
  <c r="H115" i="13"/>
  <c r="G115" i="13"/>
  <c r="J114" i="13"/>
  <c r="I114" i="13"/>
  <c r="H114" i="13"/>
  <c r="G114" i="13"/>
  <c r="J113" i="13"/>
  <c r="I113" i="13"/>
  <c r="H113" i="13"/>
  <c r="G113" i="13"/>
  <c r="J112" i="13"/>
  <c r="I112" i="13"/>
  <c r="H112" i="13"/>
  <c r="G112" i="13"/>
  <c r="J111" i="13"/>
  <c r="I111" i="13"/>
  <c r="H111" i="13"/>
  <c r="G111" i="13"/>
  <c r="J110" i="13"/>
  <c r="I110" i="13"/>
  <c r="H110" i="13"/>
  <c r="G110" i="13"/>
  <c r="J109" i="13"/>
  <c r="I109" i="13"/>
  <c r="H109" i="13"/>
  <c r="G109" i="13"/>
  <c r="J108" i="13"/>
  <c r="I108" i="13"/>
  <c r="H108" i="13"/>
  <c r="G108" i="13"/>
  <c r="J107" i="13"/>
  <c r="I107" i="13"/>
  <c r="H107" i="13"/>
  <c r="G107" i="13"/>
  <c r="J106" i="13"/>
  <c r="I106" i="13"/>
  <c r="H106" i="13"/>
  <c r="G106" i="13"/>
  <c r="J105" i="13"/>
  <c r="I105" i="13"/>
  <c r="H105" i="13"/>
  <c r="G105" i="13"/>
  <c r="J104" i="13"/>
  <c r="I104" i="13"/>
  <c r="H104" i="13"/>
  <c r="G104" i="13"/>
  <c r="J103" i="13"/>
  <c r="I103" i="13"/>
  <c r="H103" i="13"/>
  <c r="G103" i="13"/>
  <c r="J102" i="13"/>
  <c r="I102" i="13"/>
  <c r="H102" i="13"/>
  <c r="G102" i="13"/>
  <c r="J101" i="13"/>
  <c r="I101" i="13"/>
  <c r="H101" i="13"/>
  <c r="G101" i="13"/>
  <c r="J100" i="13"/>
  <c r="I100" i="13"/>
  <c r="H100" i="13"/>
  <c r="G100" i="13"/>
  <c r="J99" i="13"/>
  <c r="I99" i="13"/>
  <c r="H99" i="13"/>
  <c r="G99" i="13"/>
  <c r="J98" i="13"/>
  <c r="I98" i="13"/>
  <c r="H98" i="13"/>
  <c r="G98" i="13"/>
  <c r="J97" i="13"/>
  <c r="I97" i="13"/>
  <c r="H97" i="13"/>
  <c r="G97" i="13"/>
  <c r="J96" i="13"/>
  <c r="I96" i="13"/>
  <c r="H96" i="13"/>
  <c r="G96" i="13"/>
  <c r="J95" i="13"/>
  <c r="I95" i="13"/>
  <c r="H95" i="13"/>
  <c r="G95" i="13"/>
  <c r="J94" i="13"/>
  <c r="I94" i="13"/>
  <c r="H94" i="13"/>
  <c r="G94" i="13"/>
  <c r="J93" i="13"/>
  <c r="I93" i="13"/>
  <c r="H93" i="13"/>
  <c r="G93" i="13"/>
  <c r="J92" i="13"/>
  <c r="I92" i="13"/>
  <c r="H92" i="13"/>
  <c r="G92" i="13"/>
  <c r="J91" i="13"/>
  <c r="I91" i="13"/>
  <c r="H91" i="13"/>
  <c r="G91" i="13"/>
  <c r="J90" i="13"/>
  <c r="I90" i="13"/>
  <c r="H90" i="13"/>
  <c r="G90" i="13"/>
  <c r="J89" i="13"/>
  <c r="I89" i="13"/>
  <c r="H89" i="13"/>
  <c r="G89" i="13"/>
  <c r="J88" i="13"/>
  <c r="I88" i="13"/>
  <c r="H88" i="13"/>
  <c r="G88" i="13"/>
  <c r="J87" i="13"/>
  <c r="I87" i="13"/>
  <c r="H87" i="13"/>
  <c r="G87" i="13"/>
  <c r="J86" i="13"/>
  <c r="I86" i="13"/>
  <c r="H86" i="13"/>
  <c r="G86" i="13"/>
  <c r="J85" i="13"/>
  <c r="I85" i="13"/>
  <c r="H85" i="13"/>
  <c r="G85" i="13"/>
  <c r="J84" i="13"/>
  <c r="I84" i="13"/>
  <c r="H84" i="13"/>
  <c r="G84" i="13"/>
  <c r="J83" i="13"/>
  <c r="I83" i="13"/>
  <c r="H83" i="13"/>
  <c r="G83" i="13"/>
  <c r="J82" i="13"/>
  <c r="I82" i="13"/>
  <c r="H82" i="13"/>
  <c r="G82" i="13"/>
  <c r="J81" i="13"/>
  <c r="I81" i="13"/>
  <c r="H81" i="13"/>
  <c r="G81" i="13"/>
  <c r="J80" i="13"/>
  <c r="I80" i="13"/>
  <c r="H80" i="13"/>
  <c r="G80" i="13"/>
  <c r="J79" i="13"/>
  <c r="I79" i="13"/>
  <c r="H79" i="13"/>
  <c r="G79" i="13"/>
  <c r="J78" i="13"/>
  <c r="I78" i="13"/>
  <c r="H78" i="13"/>
  <c r="G78" i="13"/>
  <c r="J77" i="13"/>
  <c r="I77" i="13"/>
  <c r="H77" i="13"/>
  <c r="G77" i="13"/>
  <c r="J76" i="13"/>
  <c r="I76" i="13"/>
  <c r="H76" i="13"/>
  <c r="G76" i="13"/>
  <c r="J75" i="13"/>
  <c r="I75" i="13"/>
  <c r="H75" i="13"/>
  <c r="G75" i="13"/>
  <c r="J74" i="13"/>
  <c r="I74" i="13"/>
  <c r="H74" i="13"/>
  <c r="G74" i="13"/>
  <c r="J73" i="13"/>
  <c r="I73" i="13"/>
  <c r="H73" i="13"/>
  <c r="G73" i="13"/>
  <c r="J72" i="13"/>
  <c r="I72" i="13"/>
  <c r="H72" i="13"/>
  <c r="G72" i="13"/>
  <c r="J71" i="13"/>
  <c r="I71" i="13"/>
  <c r="H71" i="13"/>
  <c r="G71" i="13"/>
  <c r="J70" i="13"/>
  <c r="I70" i="13"/>
  <c r="H70" i="13"/>
  <c r="G70" i="13"/>
  <c r="J69" i="13"/>
  <c r="I69" i="13"/>
  <c r="H69" i="13"/>
  <c r="G69" i="13"/>
  <c r="J68" i="13"/>
  <c r="I68" i="13"/>
  <c r="H68" i="13"/>
  <c r="G68" i="13"/>
  <c r="J67" i="13"/>
  <c r="I67" i="13"/>
  <c r="H67" i="13"/>
  <c r="G67" i="13"/>
  <c r="J66" i="13"/>
  <c r="I66" i="13"/>
  <c r="H66" i="13"/>
  <c r="G66" i="13"/>
  <c r="J65" i="13"/>
  <c r="I65" i="13"/>
  <c r="H65" i="13"/>
  <c r="G65" i="13"/>
  <c r="J64" i="13"/>
  <c r="I64" i="13"/>
  <c r="H64" i="13"/>
  <c r="G64" i="13"/>
  <c r="J63" i="13"/>
  <c r="I63" i="13"/>
  <c r="H63" i="13"/>
  <c r="G63" i="13"/>
  <c r="J62" i="13"/>
  <c r="I62" i="13"/>
  <c r="H62" i="13"/>
  <c r="G62" i="13"/>
  <c r="J61" i="13"/>
  <c r="I61" i="13"/>
  <c r="H61" i="13"/>
  <c r="G61" i="13"/>
  <c r="J60" i="13"/>
  <c r="I60" i="13"/>
  <c r="H60" i="13"/>
  <c r="G60" i="13"/>
  <c r="J59" i="13"/>
  <c r="I59" i="13"/>
  <c r="H59" i="13"/>
  <c r="G59" i="13"/>
  <c r="J58" i="13"/>
  <c r="I58" i="13"/>
  <c r="H58" i="13"/>
  <c r="G58" i="13"/>
  <c r="J57" i="13"/>
  <c r="I57" i="13"/>
  <c r="H57" i="13"/>
  <c r="G57" i="13"/>
  <c r="J56" i="13"/>
  <c r="I56" i="13"/>
  <c r="H56" i="13"/>
  <c r="G56" i="13"/>
  <c r="J55" i="13"/>
  <c r="I55" i="13"/>
  <c r="H55" i="13"/>
  <c r="G55" i="13"/>
  <c r="J54" i="13"/>
  <c r="I54" i="13"/>
  <c r="H54" i="13"/>
  <c r="G54" i="13"/>
  <c r="J53" i="13"/>
  <c r="I53" i="13"/>
  <c r="H53" i="13"/>
  <c r="G53" i="13"/>
  <c r="J52" i="13"/>
  <c r="I52" i="13"/>
  <c r="H52" i="13"/>
  <c r="G52" i="13"/>
  <c r="J51" i="13"/>
  <c r="I51" i="13"/>
  <c r="H51" i="13"/>
  <c r="G51" i="13"/>
  <c r="J50" i="13"/>
  <c r="I50" i="13"/>
  <c r="H50" i="13"/>
  <c r="G50" i="13"/>
  <c r="J49" i="13"/>
  <c r="I49" i="13"/>
  <c r="H49" i="13"/>
  <c r="G49" i="13"/>
  <c r="J48" i="13"/>
  <c r="I48" i="13"/>
  <c r="H48" i="13"/>
  <c r="G48" i="13"/>
  <c r="J47" i="13"/>
  <c r="I47" i="13"/>
  <c r="H47" i="13"/>
  <c r="G47" i="13"/>
  <c r="J46" i="13"/>
  <c r="I46" i="13"/>
  <c r="H46" i="13"/>
  <c r="G46" i="13"/>
  <c r="J45" i="13"/>
  <c r="I45" i="13"/>
  <c r="H45" i="13"/>
  <c r="G45" i="13"/>
  <c r="J44" i="13"/>
  <c r="I44" i="13"/>
  <c r="H44" i="13"/>
  <c r="G44" i="13"/>
  <c r="J43" i="13"/>
  <c r="I43" i="13"/>
  <c r="H43" i="13"/>
  <c r="G43" i="13"/>
  <c r="J42" i="13"/>
  <c r="I42" i="13"/>
  <c r="H42" i="13"/>
  <c r="G42" i="13"/>
  <c r="J41" i="13"/>
  <c r="I41" i="13"/>
  <c r="H41" i="13"/>
  <c r="G41" i="13"/>
  <c r="AE40" i="13"/>
  <c r="J40" i="13"/>
  <c r="I40" i="13"/>
  <c r="H40" i="13"/>
  <c r="G40" i="13"/>
  <c r="J39" i="13"/>
  <c r="I39" i="13"/>
  <c r="H39" i="13"/>
  <c r="G39" i="13"/>
  <c r="J38" i="13"/>
  <c r="I38" i="13"/>
  <c r="H38" i="13"/>
  <c r="G38" i="13"/>
  <c r="J37" i="13"/>
  <c r="I37" i="13"/>
  <c r="H37" i="13"/>
  <c r="G37" i="13"/>
  <c r="J36" i="13"/>
  <c r="I36" i="13"/>
  <c r="H36" i="13"/>
  <c r="G36" i="13"/>
  <c r="J35" i="13"/>
  <c r="I35" i="13"/>
  <c r="H35" i="13"/>
  <c r="G35" i="13"/>
  <c r="J34" i="13"/>
  <c r="I34" i="13"/>
  <c r="H34" i="13"/>
  <c r="G34" i="13"/>
  <c r="J33" i="13"/>
  <c r="I33" i="13"/>
  <c r="H33" i="13"/>
  <c r="G33" i="13"/>
  <c r="J32" i="13"/>
  <c r="I32" i="13"/>
  <c r="H32" i="13"/>
  <c r="G32" i="13"/>
  <c r="AF31" i="13"/>
  <c r="J31" i="13"/>
  <c r="I31" i="13"/>
  <c r="H31" i="13"/>
  <c r="G31" i="13"/>
  <c r="J30" i="13"/>
  <c r="I30" i="13"/>
  <c r="H30" i="13"/>
  <c r="G30" i="13"/>
  <c r="J29" i="13"/>
  <c r="I29" i="13"/>
  <c r="H29" i="13"/>
  <c r="G29" i="13"/>
  <c r="J28" i="13"/>
  <c r="I28" i="13"/>
  <c r="H28" i="13"/>
  <c r="G28" i="13"/>
  <c r="J27" i="13"/>
  <c r="I27" i="13"/>
  <c r="H27" i="13"/>
  <c r="G27" i="13"/>
  <c r="J26" i="13"/>
  <c r="I26" i="13"/>
  <c r="H26" i="13"/>
  <c r="G26" i="13"/>
  <c r="J25" i="13"/>
  <c r="I25" i="13"/>
  <c r="H25" i="13"/>
  <c r="G25" i="13"/>
  <c r="J24" i="13"/>
  <c r="I24" i="13"/>
  <c r="H24" i="13"/>
  <c r="G24" i="13"/>
  <c r="J23" i="13"/>
  <c r="I23" i="13"/>
  <c r="H23" i="13"/>
  <c r="G23" i="13"/>
  <c r="J22" i="13"/>
  <c r="I22" i="13"/>
  <c r="H22" i="13"/>
  <c r="G22" i="13"/>
  <c r="J21" i="13"/>
  <c r="I21" i="13"/>
  <c r="H21" i="13"/>
  <c r="G21" i="13"/>
  <c r="J20" i="13"/>
  <c r="I20" i="13"/>
  <c r="H20" i="13"/>
  <c r="G20" i="13"/>
  <c r="J19" i="13"/>
  <c r="I19" i="13"/>
  <c r="H19" i="13"/>
  <c r="G19" i="13"/>
  <c r="J18" i="13"/>
  <c r="I18" i="13"/>
  <c r="H18" i="13"/>
  <c r="G18" i="13"/>
  <c r="J17" i="13"/>
  <c r="I17" i="13"/>
  <c r="H17" i="13"/>
  <c r="G17" i="13"/>
  <c r="J16" i="13"/>
  <c r="I16" i="13"/>
  <c r="H16" i="13"/>
  <c r="G16" i="13"/>
  <c r="J15" i="13"/>
  <c r="I15" i="13"/>
  <c r="H15" i="13"/>
  <c r="G15" i="13"/>
  <c r="J14" i="13"/>
  <c r="I14" i="13"/>
  <c r="H14" i="13"/>
  <c r="G14" i="13"/>
  <c r="J13" i="13"/>
  <c r="I13" i="13"/>
  <c r="H13" i="13"/>
  <c r="G13" i="13"/>
  <c r="J12" i="13"/>
  <c r="I12" i="13"/>
  <c r="H12" i="13"/>
  <c r="G12" i="13"/>
  <c r="J11" i="13"/>
  <c r="I11" i="13"/>
  <c r="H11" i="13"/>
  <c r="G11" i="13"/>
  <c r="J10" i="13"/>
  <c r="I10" i="13"/>
  <c r="H10" i="13"/>
  <c r="G10" i="13"/>
  <c r="J9" i="13"/>
  <c r="I9" i="13"/>
  <c r="H9" i="13"/>
  <c r="G9" i="13"/>
  <c r="J8" i="13"/>
  <c r="I8" i="13"/>
  <c r="H8" i="13"/>
  <c r="G8" i="13"/>
  <c r="J7" i="13"/>
  <c r="I7" i="13"/>
  <c r="H7" i="13"/>
  <c r="G7" i="13"/>
  <c r="J6" i="13"/>
  <c r="I6" i="13"/>
  <c r="H6" i="13"/>
  <c r="G6" i="13"/>
  <c r="J5" i="13"/>
  <c r="I5" i="13"/>
  <c r="H5" i="13"/>
  <c r="G5" i="13"/>
  <c r="J4" i="13"/>
  <c r="I4" i="13"/>
  <c r="H4" i="13"/>
  <c r="G4" i="13"/>
  <c r="J3" i="13"/>
  <c r="I3" i="13"/>
  <c r="H3" i="13"/>
  <c r="G3" i="13"/>
  <c r="J2" i="13"/>
  <c r="I2" i="13"/>
  <c r="H2" i="13"/>
  <c r="G2" i="13"/>
  <c r="J73" i="12"/>
  <c r="I73" i="12"/>
  <c r="H73" i="12"/>
  <c r="G73" i="12"/>
  <c r="D73" i="12"/>
  <c r="J72" i="12"/>
  <c r="I72" i="12"/>
  <c r="H72" i="12"/>
  <c r="G72" i="12"/>
  <c r="D72" i="12"/>
  <c r="J71" i="12"/>
  <c r="I71" i="12"/>
  <c r="H71" i="12"/>
  <c r="G71" i="12"/>
  <c r="D71" i="12"/>
  <c r="J70" i="12"/>
  <c r="I70" i="12"/>
  <c r="H70" i="12"/>
  <c r="G70" i="12"/>
  <c r="D70" i="12"/>
  <c r="J69" i="12"/>
  <c r="I69" i="12"/>
  <c r="H69" i="12"/>
  <c r="G69" i="12"/>
  <c r="D69" i="12"/>
  <c r="J68" i="12"/>
  <c r="I68" i="12"/>
  <c r="H68" i="12"/>
  <c r="G68" i="12"/>
  <c r="D68" i="12"/>
  <c r="J67" i="12"/>
  <c r="I67" i="12"/>
  <c r="H67" i="12"/>
  <c r="G67" i="12"/>
  <c r="D67" i="12"/>
  <c r="J66" i="12"/>
  <c r="I66" i="12"/>
  <c r="H66" i="12"/>
  <c r="G66" i="12"/>
  <c r="D66" i="12"/>
  <c r="J65" i="12"/>
  <c r="I65" i="12"/>
  <c r="H65" i="12"/>
  <c r="G65" i="12"/>
  <c r="D65" i="12"/>
  <c r="J64" i="12"/>
  <c r="I64" i="12"/>
  <c r="H64" i="12"/>
  <c r="G64" i="12"/>
  <c r="D64" i="12"/>
  <c r="J63" i="12"/>
  <c r="I63" i="12"/>
  <c r="H63" i="12"/>
  <c r="G63" i="12"/>
  <c r="D63" i="12"/>
  <c r="J62" i="12"/>
  <c r="I62" i="12"/>
  <c r="H62" i="12"/>
  <c r="G62" i="12"/>
  <c r="D62" i="12"/>
  <c r="J61" i="12"/>
  <c r="I61" i="12"/>
  <c r="H61" i="12"/>
  <c r="G61" i="12"/>
  <c r="D61" i="12"/>
  <c r="J60" i="12"/>
  <c r="I60" i="12"/>
  <c r="H60" i="12"/>
  <c r="G60" i="12"/>
  <c r="D60" i="12"/>
  <c r="J59" i="12"/>
  <c r="I59" i="12"/>
  <c r="H59" i="12"/>
  <c r="G59" i="12"/>
  <c r="D59" i="12"/>
  <c r="J58" i="12"/>
  <c r="I58" i="12"/>
  <c r="H58" i="12"/>
  <c r="G58" i="12"/>
  <c r="D58" i="12"/>
  <c r="J57" i="12"/>
  <c r="I57" i="12"/>
  <c r="H57" i="12"/>
  <c r="G57" i="12"/>
  <c r="D57" i="12"/>
  <c r="J56" i="12"/>
  <c r="I56" i="12"/>
  <c r="H56" i="12"/>
  <c r="G56" i="12"/>
  <c r="D56" i="12"/>
  <c r="J55" i="12"/>
  <c r="I55" i="12"/>
  <c r="H55" i="12"/>
  <c r="G55" i="12"/>
  <c r="D55" i="12"/>
  <c r="J54" i="12"/>
  <c r="I54" i="12"/>
  <c r="H54" i="12"/>
  <c r="G54" i="12"/>
  <c r="D54" i="12"/>
  <c r="J53" i="12"/>
  <c r="I53" i="12"/>
  <c r="H53" i="12"/>
  <c r="G53" i="12"/>
  <c r="D53" i="12"/>
  <c r="J52" i="12"/>
  <c r="I52" i="12"/>
  <c r="H52" i="12"/>
  <c r="G52" i="12"/>
  <c r="D52" i="12"/>
  <c r="J51" i="12"/>
  <c r="I51" i="12"/>
  <c r="H51" i="12"/>
  <c r="G51" i="12"/>
  <c r="D51" i="12"/>
  <c r="J50" i="12"/>
  <c r="I50" i="12"/>
  <c r="H50" i="12"/>
  <c r="G50" i="12"/>
  <c r="D50" i="12"/>
  <c r="J49" i="12"/>
  <c r="I49" i="12"/>
  <c r="H49" i="12"/>
  <c r="G49" i="12"/>
  <c r="D49" i="12"/>
  <c r="J48" i="12"/>
  <c r="I48" i="12"/>
  <c r="H48" i="12"/>
  <c r="G48" i="12"/>
  <c r="D48" i="12"/>
  <c r="J47" i="12"/>
  <c r="I47" i="12"/>
  <c r="H47" i="12"/>
  <c r="G47" i="12"/>
  <c r="D47" i="12"/>
  <c r="J46" i="12"/>
  <c r="I46" i="12"/>
  <c r="H46" i="12"/>
  <c r="G46" i="12"/>
  <c r="D46" i="12"/>
  <c r="J45" i="12"/>
  <c r="I45" i="12"/>
  <c r="H45" i="12"/>
  <c r="G45" i="12"/>
  <c r="D45" i="12"/>
  <c r="J44" i="12"/>
  <c r="I44" i="12"/>
  <c r="H44" i="12"/>
  <c r="G44" i="12"/>
  <c r="D44" i="12"/>
  <c r="J43" i="12"/>
  <c r="I43" i="12"/>
  <c r="H43" i="12"/>
  <c r="G43" i="12"/>
  <c r="D43" i="12"/>
  <c r="J42" i="12"/>
  <c r="I42" i="12"/>
  <c r="H42" i="12"/>
  <c r="G42" i="12"/>
  <c r="D42" i="12"/>
  <c r="J41" i="12"/>
  <c r="I41" i="12"/>
  <c r="H41" i="12"/>
  <c r="G41" i="12"/>
  <c r="D41" i="12"/>
  <c r="J40" i="12"/>
  <c r="I40" i="12"/>
  <c r="H40" i="12"/>
  <c r="G40" i="12"/>
  <c r="D40" i="12"/>
  <c r="J39" i="12"/>
  <c r="I39" i="12"/>
  <c r="H39" i="12"/>
  <c r="G39" i="12"/>
  <c r="D39" i="12"/>
  <c r="J38" i="12"/>
  <c r="I38" i="12"/>
  <c r="H38" i="12"/>
  <c r="G38" i="12"/>
  <c r="D38" i="12"/>
  <c r="J37" i="12"/>
  <c r="I37" i="12"/>
  <c r="H37" i="12"/>
  <c r="G37" i="12"/>
  <c r="D37" i="12"/>
  <c r="AE36" i="12"/>
  <c r="J36" i="12"/>
  <c r="I36" i="12"/>
  <c r="H36" i="12"/>
  <c r="G36" i="12"/>
  <c r="D36" i="12"/>
  <c r="J35" i="12"/>
  <c r="I35" i="12"/>
  <c r="H35" i="12"/>
  <c r="G35" i="12"/>
  <c r="D35" i="12"/>
  <c r="J34" i="12"/>
  <c r="I34" i="12"/>
  <c r="H34" i="12"/>
  <c r="G34" i="12"/>
  <c r="D34" i="12"/>
  <c r="J33" i="12"/>
  <c r="I33" i="12"/>
  <c r="H33" i="12"/>
  <c r="G33" i="12"/>
  <c r="D33" i="12"/>
  <c r="J32" i="12"/>
  <c r="I32" i="12"/>
  <c r="H32" i="12"/>
  <c r="G32" i="12"/>
  <c r="D32" i="12"/>
  <c r="J31" i="12"/>
  <c r="I31" i="12"/>
  <c r="H31" i="12"/>
  <c r="G31" i="12"/>
  <c r="D31" i="12"/>
  <c r="J30" i="12"/>
  <c r="I30" i="12"/>
  <c r="H30" i="12"/>
  <c r="G30" i="12"/>
  <c r="D30" i="12"/>
  <c r="J29" i="12"/>
  <c r="I29" i="12"/>
  <c r="H29" i="12"/>
  <c r="G29" i="12"/>
  <c r="D29" i="12"/>
  <c r="J28" i="12"/>
  <c r="I28" i="12"/>
  <c r="H28" i="12"/>
  <c r="G28" i="12"/>
  <c r="D28" i="12"/>
  <c r="J27" i="12"/>
  <c r="I27" i="12"/>
  <c r="H27" i="12"/>
  <c r="G27" i="12"/>
  <c r="D27" i="12"/>
  <c r="J26" i="12"/>
  <c r="I26" i="12"/>
  <c r="H26" i="12"/>
  <c r="G26" i="12"/>
  <c r="D26" i="12"/>
  <c r="J25" i="12"/>
  <c r="I25" i="12"/>
  <c r="H25" i="12"/>
  <c r="G25" i="12"/>
  <c r="D25" i="12"/>
  <c r="J24" i="12"/>
  <c r="I24" i="12"/>
  <c r="H24" i="12"/>
  <c r="G24" i="12"/>
  <c r="D24" i="12"/>
  <c r="J23" i="12"/>
  <c r="I23" i="12"/>
  <c r="H23" i="12"/>
  <c r="G23" i="12"/>
  <c r="D23" i="12"/>
  <c r="J22" i="12"/>
  <c r="I22" i="12"/>
  <c r="H22" i="12"/>
  <c r="G22" i="12"/>
  <c r="D22" i="12"/>
  <c r="J21" i="12"/>
  <c r="I21" i="12"/>
  <c r="H21" i="12"/>
  <c r="G21" i="12"/>
  <c r="D21" i="12"/>
  <c r="J20" i="12"/>
  <c r="I20" i="12"/>
  <c r="H20" i="12"/>
  <c r="G20" i="12"/>
  <c r="D20" i="12"/>
  <c r="J19" i="12"/>
  <c r="I19" i="12"/>
  <c r="H19" i="12"/>
  <c r="G19" i="12"/>
  <c r="D19" i="12"/>
  <c r="J18" i="12"/>
  <c r="I18" i="12"/>
  <c r="H18" i="12"/>
  <c r="G18" i="12"/>
  <c r="D18" i="12"/>
  <c r="J17" i="12"/>
  <c r="I17" i="12"/>
  <c r="H17" i="12"/>
  <c r="G17" i="12"/>
  <c r="D17" i="12"/>
  <c r="J16" i="12"/>
  <c r="I16" i="12"/>
  <c r="H16" i="12"/>
  <c r="G16" i="12"/>
  <c r="D16" i="12"/>
  <c r="J15" i="12"/>
  <c r="I15" i="12"/>
  <c r="H15" i="12"/>
  <c r="G15" i="12"/>
  <c r="D15" i="12"/>
  <c r="J14" i="12"/>
  <c r="I14" i="12"/>
  <c r="H14" i="12"/>
  <c r="G14" i="12"/>
  <c r="D14" i="12"/>
  <c r="J13" i="12"/>
  <c r="I13" i="12"/>
  <c r="H13" i="12"/>
  <c r="G13" i="12"/>
  <c r="D13" i="12"/>
  <c r="J12" i="12"/>
  <c r="I12" i="12"/>
  <c r="H12" i="12"/>
  <c r="G12" i="12"/>
  <c r="D12" i="12"/>
  <c r="J11" i="12"/>
  <c r="I11" i="12"/>
  <c r="H11" i="12"/>
  <c r="G11" i="12"/>
  <c r="D11" i="12"/>
  <c r="J10" i="12"/>
  <c r="I10" i="12"/>
  <c r="H10" i="12"/>
  <c r="G10" i="12"/>
  <c r="D10" i="12"/>
  <c r="J9" i="12"/>
  <c r="I9" i="12"/>
  <c r="H9" i="12"/>
  <c r="G9" i="12"/>
  <c r="D9" i="12"/>
  <c r="J8" i="12"/>
  <c r="I8" i="12"/>
  <c r="H8" i="12"/>
  <c r="G8" i="12"/>
  <c r="D8" i="12"/>
  <c r="J7" i="12"/>
  <c r="I7" i="12"/>
  <c r="H7" i="12"/>
  <c r="G7" i="12"/>
  <c r="D7" i="12"/>
  <c r="J6" i="12"/>
  <c r="I6" i="12"/>
  <c r="H6" i="12"/>
  <c r="G6" i="12"/>
  <c r="D6" i="12"/>
  <c r="J5" i="12"/>
  <c r="I5" i="12"/>
  <c r="H5" i="12"/>
  <c r="G5" i="12"/>
  <c r="D5" i="12"/>
  <c r="J4" i="12"/>
  <c r="I4" i="12"/>
  <c r="H4" i="12"/>
  <c r="G4" i="12"/>
  <c r="D4" i="12"/>
  <c r="J3" i="12"/>
  <c r="I3" i="12"/>
  <c r="H3" i="12"/>
  <c r="G3" i="12"/>
  <c r="D3" i="12"/>
  <c r="J2" i="12"/>
  <c r="I2" i="12"/>
  <c r="H2" i="12"/>
  <c r="G2" i="12"/>
  <c r="D2" i="12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AF68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AE21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G79" i="3"/>
  <c r="I79" i="3"/>
  <c r="J79" i="3"/>
  <c r="K79" i="3"/>
  <c r="G66" i="3"/>
  <c r="I66" i="3"/>
  <c r="J66" i="3"/>
  <c r="K66" i="3"/>
  <c r="G14" i="3"/>
  <c r="I14" i="3"/>
  <c r="J14" i="3"/>
  <c r="K14" i="3"/>
  <c r="G72" i="3"/>
  <c r="I72" i="3"/>
  <c r="J72" i="3"/>
  <c r="K72" i="3"/>
  <c r="G90" i="3"/>
  <c r="I90" i="3"/>
  <c r="J90" i="3"/>
  <c r="K90" i="3"/>
  <c r="G86" i="3"/>
  <c r="I86" i="3"/>
  <c r="J86" i="3"/>
  <c r="K86" i="3"/>
  <c r="G82" i="3"/>
  <c r="I82" i="3"/>
  <c r="J82" i="3"/>
  <c r="K82" i="3"/>
  <c r="G92" i="3"/>
  <c r="I92" i="3"/>
  <c r="J92" i="3"/>
  <c r="K92" i="3"/>
  <c r="G93" i="3"/>
  <c r="I93" i="3"/>
  <c r="J93" i="3"/>
  <c r="K93" i="3"/>
  <c r="G62" i="3"/>
  <c r="I62" i="3"/>
  <c r="J62" i="3"/>
  <c r="K62" i="3"/>
  <c r="G95" i="3"/>
  <c r="I95" i="3"/>
  <c r="J95" i="3"/>
  <c r="K95" i="3"/>
  <c r="G84" i="3"/>
  <c r="I84" i="3"/>
  <c r="J84" i="3"/>
  <c r="K84" i="3"/>
  <c r="G74" i="3"/>
  <c r="I74" i="3"/>
  <c r="J74" i="3"/>
  <c r="K74" i="3"/>
  <c r="G46" i="3"/>
  <c r="I46" i="3"/>
  <c r="J46" i="3"/>
  <c r="K46" i="3"/>
  <c r="G56" i="3"/>
  <c r="I56" i="3"/>
  <c r="J56" i="3"/>
  <c r="K56" i="3"/>
  <c r="G87" i="3"/>
  <c r="I87" i="3"/>
  <c r="J87" i="3"/>
  <c r="K87" i="3"/>
  <c r="G104" i="3"/>
  <c r="I104" i="3"/>
  <c r="J104" i="3"/>
  <c r="K104" i="3"/>
  <c r="G78" i="3"/>
  <c r="I78" i="3"/>
  <c r="J78" i="3"/>
  <c r="K78" i="3"/>
  <c r="G91" i="3"/>
  <c r="I91" i="3"/>
  <c r="J91" i="3"/>
  <c r="K91" i="3"/>
  <c r="G101" i="3"/>
  <c r="I101" i="3"/>
  <c r="J101" i="3"/>
  <c r="K101" i="3"/>
  <c r="G85" i="3"/>
  <c r="I85" i="3"/>
  <c r="J85" i="3"/>
  <c r="K85" i="3"/>
  <c r="G77" i="3"/>
  <c r="I77" i="3"/>
  <c r="J77" i="3"/>
  <c r="K77" i="3"/>
  <c r="G96" i="3"/>
  <c r="I96" i="3"/>
  <c r="J96" i="3"/>
  <c r="K96" i="3"/>
  <c r="G103" i="3"/>
  <c r="I103" i="3"/>
  <c r="J103" i="3"/>
  <c r="K103" i="3"/>
  <c r="G106" i="3"/>
  <c r="I106" i="3"/>
  <c r="J106" i="3"/>
  <c r="K106" i="3"/>
  <c r="G75" i="3"/>
  <c r="I75" i="3"/>
  <c r="J75" i="3"/>
  <c r="K75" i="3"/>
  <c r="G102" i="3"/>
  <c r="I102" i="3"/>
  <c r="J102" i="3"/>
  <c r="K102" i="3"/>
  <c r="G123" i="3"/>
  <c r="I123" i="3"/>
  <c r="J123" i="3"/>
  <c r="K123" i="3"/>
  <c r="G138" i="3"/>
  <c r="I138" i="3"/>
  <c r="J138" i="3"/>
  <c r="K138" i="3"/>
  <c r="G81" i="3"/>
  <c r="I81" i="3"/>
  <c r="J81" i="3"/>
  <c r="K81" i="3"/>
  <c r="G15" i="3"/>
  <c r="I15" i="3"/>
  <c r="J15" i="3"/>
  <c r="K15" i="3"/>
  <c r="G89" i="3"/>
  <c r="I89" i="3"/>
  <c r="J89" i="3"/>
  <c r="K89" i="3"/>
  <c r="G63" i="3"/>
  <c r="I63" i="3"/>
  <c r="J63" i="3"/>
  <c r="K63" i="3"/>
  <c r="G68" i="3"/>
  <c r="I68" i="3"/>
  <c r="J68" i="3"/>
  <c r="K68" i="3"/>
  <c r="G71" i="3"/>
  <c r="I71" i="3"/>
  <c r="J71" i="3"/>
  <c r="K71" i="3"/>
  <c r="G109" i="3"/>
  <c r="I109" i="3"/>
  <c r="J109" i="3"/>
  <c r="K109" i="3"/>
  <c r="G113" i="3"/>
  <c r="I113" i="3"/>
  <c r="J113" i="3"/>
  <c r="K113" i="3"/>
  <c r="G97" i="3"/>
  <c r="I97" i="3"/>
  <c r="J97" i="3"/>
  <c r="K97" i="3"/>
  <c r="G7" i="3"/>
  <c r="I7" i="3"/>
  <c r="J7" i="3"/>
  <c r="K7" i="3"/>
  <c r="G112" i="3"/>
  <c r="I112" i="3"/>
  <c r="J112" i="3"/>
  <c r="K112" i="3"/>
  <c r="G107" i="3"/>
  <c r="I107" i="3"/>
  <c r="J107" i="3"/>
  <c r="K107" i="3"/>
  <c r="G94" i="3"/>
  <c r="I94" i="3"/>
  <c r="J94" i="3"/>
  <c r="K94" i="3"/>
  <c r="G119" i="3"/>
  <c r="I119" i="3"/>
  <c r="J119" i="3"/>
  <c r="K119" i="3"/>
  <c r="G73" i="3"/>
  <c r="I73" i="3"/>
  <c r="J73" i="3"/>
  <c r="K73" i="3"/>
  <c r="G125" i="3"/>
  <c r="I125" i="3"/>
  <c r="J125" i="3"/>
  <c r="K125" i="3"/>
  <c r="G120" i="3"/>
  <c r="I120" i="3"/>
  <c r="J120" i="3"/>
  <c r="K120" i="3"/>
  <c r="G128" i="3"/>
  <c r="I128" i="3"/>
  <c r="J128" i="3"/>
  <c r="K128" i="3"/>
  <c r="G105" i="3"/>
  <c r="I105" i="3"/>
  <c r="J105" i="3"/>
  <c r="K105" i="3"/>
  <c r="G122" i="3"/>
  <c r="I122" i="3"/>
  <c r="J122" i="3"/>
  <c r="K122" i="3"/>
  <c r="G110" i="3"/>
  <c r="I110" i="3"/>
  <c r="J110" i="3"/>
  <c r="K110" i="3"/>
  <c r="G115" i="3"/>
  <c r="I115" i="3"/>
  <c r="J115" i="3"/>
  <c r="K115" i="3"/>
  <c r="G132" i="3"/>
  <c r="I132" i="3"/>
  <c r="J132" i="3"/>
  <c r="K132" i="3"/>
  <c r="G165" i="3"/>
  <c r="I165" i="3"/>
  <c r="J165" i="3"/>
  <c r="K165" i="3"/>
  <c r="G116" i="3"/>
  <c r="I116" i="3"/>
  <c r="J116" i="3"/>
  <c r="K116" i="3"/>
  <c r="G114" i="3"/>
  <c r="I114" i="3"/>
  <c r="J114" i="3"/>
  <c r="K114" i="3"/>
  <c r="G118" i="3"/>
  <c r="I118" i="3"/>
  <c r="J118" i="3"/>
  <c r="K118" i="3"/>
  <c r="G133" i="3"/>
  <c r="I133" i="3"/>
  <c r="J133" i="3"/>
  <c r="K133" i="3"/>
  <c r="G134" i="3"/>
  <c r="I134" i="3"/>
  <c r="J134" i="3"/>
  <c r="K134" i="3"/>
  <c r="G126" i="3"/>
  <c r="I126" i="3"/>
  <c r="J126" i="3"/>
  <c r="K126" i="3"/>
  <c r="G111" i="3"/>
  <c r="I111" i="3"/>
  <c r="J111" i="3"/>
  <c r="K111" i="3"/>
  <c r="G121" i="3"/>
  <c r="I121" i="3"/>
  <c r="J121" i="3"/>
  <c r="K121" i="3"/>
  <c r="G164" i="3"/>
  <c r="I164" i="3"/>
  <c r="J164" i="3"/>
  <c r="K164" i="3"/>
  <c r="G127" i="3"/>
  <c r="I127" i="3"/>
  <c r="J127" i="3"/>
  <c r="K127" i="3"/>
  <c r="G167" i="3"/>
  <c r="I167" i="3"/>
  <c r="J167" i="3"/>
  <c r="K167" i="3"/>
  <c r="G130" i="3"/>
  <c r="I130" i="3"/>
  <c r="J130" i="3"/>
  <c r="K130" i="3"/>
  <c r="G139" i="3"/>
  <c r="I139" i="3"/>
  <c r="J139" i="3"/>
  <c r="K139" i="3"/>
  <c r="G140" i="3"/>
  <c r="I140" i="3"/>
  <c r="J140" i="3"/>
  <c r="K140" i="3"/>
  <c r="G146" i="3"/>
  <c r="I146" i="3"/>
  <c r="J146" i="3"/>
  <c r="K146" i="3"/>
  <c r="G168" i="3"/>
  <c r="I168" i="3"/>
  <c r="J168" i="3"/>
  <c r="K168" i="3"/>
  <c r="G99" i="3"/>
  <c r="I99" i="3"/>
  <c r="J99" i="3"/>
  <c r="K99" i="3"/>
  <c r="G169" i="3"/>
  <c r="I169" i="3"/>
  <c r="J169" i="3"/>
  <c r="K169" i="3"/>
  <c r="G142" i="3"/>
  <c r="I142" i="3"/>
  <c r="J142" i="3"/>
  <c r="K142" i="3"/>
  <c r="G117" i="3"/>
  <c r="I117" i="3"/>
  <c r="J117" i="3"/>
  <c r="K117" i="3"/>
  <c r="G166" i="3"/>
  <c r="I166" i="3"/>
  <c r="J166" i="3"/>
  <c r="K166" i="3"/>
  <c r="G108" i="3"/>
  <c r="I108" i="3"/>
  <c r="J108" i="3"/>
  <c r="K108" i="3"/>
  <c r="G135" i="3"/>
  <c r="I135" i="3"/>
  <c r="J135" i="3"/>
  <c r="K135" i="3"/>
  <c r="G141" i="3"/>
  <c r="I141" i="3"/>
  <c r="J141" i="3"/>
  <c r="K141" i="3"/>
  <c r="G159" i="3"/>
  <c r="I159" i="3"/>
  <c r="J159" i="3"/>
  <c r="K159" i="3"/>
  <c r="G170" i="3"/>
  <c r="I170" i="3"/>
  <c r="J170" i="3"/>
  <c r="K170" i="3"/>
  <c r="G131" i="3"/>
  <c r="I131" i="3"/>
  <c r="J131" i="3"/>
  <c r="K131" i="3"/>
  <c r="G161" i="3"/>
  <c r="I161" i="3"/>
  <c r="J161" i="3"/>
  <c r="K161" i="3"/>
  <c r="G171" i="3"/>
  <c r="I171" i="3"/>
  <c r="J171" i="3"/>
  <c r="K171" i="3"/>
  <c r="G157" i="3"/>
  <c r="I157" i="3"/>
  <c r="J157" i="3"/>
  <c r="K157" i="3"/>
  <c r="G163" i="3"/>
  <c r="I163" i="3"/>
  <c r="J163" i="3"/>
  <c r="K163" i="3"/>
  <c r="G52" i="3"/>
  <c r="I52" i="3"/>
  <c r="J52" i="3"/>
  <c r="K52" i="3"/>
  <c r="G172" i="3"/>
  <c r="I172" i="3"/>
  <c r="J172" i="3"/>
  <c r="K172" i="3"/>
  <c r="G173" i="3"/>
  <c r="I173" i="3"/>
  <c r="J173" i="3"/>
  <c r="K173" i="3"/>
  <c r="G174" i="3"/>
  <c r="I174" i="3"/>
  <c r="J174" i="3"/>
  <c r="K174" i="3"/>
  <c r="G150" i="3"/>
  <c r="I150" i="3"/>
  <c r="J150" i="3"/>
  <c r="K150" i="3"/>
  <c r="G175" i="3"/>
  <c r="I175" i="3"/>
  <c r="J175" i="3"/>
  <c r="K175" i="3"/>
  <c r="G176" i="3"/>
  <c r="I176" i="3"/>
  <c r="J176" i="3"/>
  <c r="K176" i="3"/>
  <c r="G177" i="3"/>
  <c r="I177" i="3"/>
  <c r="J177" i="3"/>
  <c r="K177" i="3"/>
  <c r="G144" i="3"/>
  <c r="I144" i="3"/>
  <c r="J144" i="3"/>
  <c r="K144" i="3"/>
  <c r="G147" i="3"/>
  <c r="I147" i="3"/>
  <c r="J147" i="3"/>
  <c r="K147" i="3"/>
  <c r="G178" i="3"/>
  <c r="I178" i="3"/>
  <c r="J178" i="3"/>
  <c r="K178" i="3"/>
  <c r="G179" i="3"/>
  <c r="I179" i="3"/>
  <c r="J179" i="3"/>
  <c r="K179" i="3"/>
  <c r="G180" i="3"/>
  <c r="I180" i="3"/>
  <c r="J180" i="3"/>
  <c r="K180" i="3"/>
  <c r="G181" i="3"/>
  <c r="I181" i="3"/>
  <c r="J181" i="3"/>
  <c r="K181" i="3"/>
  <c r="G182" i="3"/>
  <c r="I182" i="3"/>
  <c r="J182" i="3"/>
  <c r="K182" i="3"/>
  <c r="G151" i="3"/>
  <c r="I151" i="3"/>
  <c r="J151" i="3"/>
  <c r="K151" i="3"/>
  <c r="G183" i="3"/>
  <c r="I183" i="3"/>
  <c r="J183" i="3"/>
  <c r="K183" i="3"/>
  <c r="G124" i="3"/>
  <c r="I124" i="3"/>
  <c r="J124" i="3"/>
  <c r="K124" i="3"/>
  <c r="G184" i="3"/>
  <c r="I184" i="3"/>
  <c r="J184" i="3"/>
  <c r="K184" i="3"/>
  <c r="G33" i="3"/>
  <c r="I33" i="3"/>
  <c r="J33" i="3"/>
  <c r="K33" i="3"/>
  <c r="G185" i="3"/>
  <c r="I185" i="3"/>
  <c r="J185" i="3"/>
  <c r="K185" i="3"/>
  <c r="G186" i="3"/>
  <c r="I186" i="3"/>
  <c r="J186" i="3"/>
  <c r="K186" i="3"/>
  <c r="G187" i="3"/>
  <c r="I187" i="3"/>
  <c r="J187" i="3"/>
  <c r="K187" i="3"/>
  <c r="G158" i="3"/>
  <c r="I158" i="3"/>
  <c r="J158" i="3"/>
  <c r="K158" i="3"/>
  <c r="G188" i="3"/>
  <c r="I188" i="3"/>
  <c r="J188" i="3"/>
  <c r="K188" i="3"/>
  <c r="G88" i="3"/>
  <c r="I88" i="3"/>
  <c r="J88" i="3"/>
  <c r="K88" i="3"/>
  <c r="G189" i="3"/>
  <c r="I189" i="3"/>
  <c r="J189" i="3"/>
  <c r="K189" i="3"/>
  <c r="G190" i="3"/>
  <c r="I190" i="3"/>
  <c r="J190" i="3"/>
  <c r="K190" i="3"/>
  <c r="G129" i="3"/>
  <c r="I129" i="3"/>
  <c r="J129" i="3"/>
  <c r="K129" i="3"/>
  <c r="G152" i="3"/>
  <c r="I152" i="3"/>
  <c r="J152" i="3"/>
  <c r="K152" i="3"/>
  <c r="G191" i="3"/>
  <c r="I191" i="3"/>
  <c r="J191" i="3"/>
  <c r="K191" i="3"/>
  <c r="G192" i="3"/>
  <c r="I192" i="3"/>
  <c r="J192" i="3"/>
  <c r="K192" i="3"/>
  <c r="G193" i="3"/>
  <c r="I193" i="3"/>
  <c r="J193" i="3"/>
  <c r="K193" i="3"/>
  <c r="G153" i="3"/>
  <c r="I153" i="3"/>
  <c r="J153" i="3"/>
  <c r="K153" i="3"/>
  <c r="G194" i="3"/>
  <c r="I194" i="3"/>
  <c r="J194" i="3"/>
  <c r="K194" i="3"/>
  <c r="G195" i="3"/>
  <c r="I195" i="3"/>
  <c r="J195" i="3"/>
  <c r="K195" i="3"/>
  <c r="G196" i="3"/>
  <c r="I196" i="3"/>
  <c r="J196" i="3"/>
  <c r="K196" i="3"/>
  <c r="G197" i="3"/>
  <c r="I197" i="3"/>
  <c r="J197" i="3"/>
  <c r="K197" i="3"/>
  <c r="G198" i="3"/>
  <c r="I198" i="3"/>
  <c r="J198" i="3"/>
  <c r="K198" i="3"/>
  <c r="G199" i="3"/>
  <c r="I199" i="3"/>
  <c r="J199" i="3"/>
  <c r="K199" i="3"/>
  <c r="G80" i="3"/>
  <c r="I80" i="3"/>
  <c r="J80" i="3"/>
  <c r="K80" i="3"/>
  <c r="G200" i="3"/>
  <c r="I200" i="3"/>
  <c r="J200" i="3"/>
  <c r="K200" i="3"/>
  <c r="G154" i="3"/>
  <c r="I154" i="3"/>
  <c r="J154" i="3"/>
  <c r="K154" i="3"/>
  <c r="G201" i="3"/>
  <c r="I201" i="3"/>
  <c r="J201" i="3"/>
  <c r="K201" i="3"/>
  <c r="G202" i="3"/>
  <c r="I202" i="3"/>
  <c r="J202" i="3"/>
  <c r="K202" i="3"/>
  <c r="G203" i="3"/>
  <c r="I203" i="3"/>
  <c r="J203" i="3"/>
  <c r="K203" i="3"/>
  <c r="G98" i="3"/>
  <c r="I98" i="3"/>
  <c r="J98" i="3"/>
  <c r="K98" i="3"/>
  <c r="G204" i="3"/>
  <c r="I204" i="3"/>
  <c r="J204" i="3"/>
  <c r="K204" i="3"/>
  <c r="G205" i="3"/>
  <c r="I205" i="3"/>
  <c r="J205" i="3"/>
  <c r="K205" i="3"/>
  <c r="G137" i="3"/>
  <c r="I137" i="3"/>
  <c r="J137" i="3"/>
  <c r="K137" i="3"/>
  <c r="G155" i="3"/>
  <c r="I155" i="3"/>
  <c r="J155" i="3"/>
  <c r="K155" i="3"/>
  <c r="G206" i="3"/>
  <c r="I206" i="3"/>
  <c r="J206" i="3"/>
  <c r="K206" i="3"/>
  <c r="G207" i="3"/>
  <c r="I207" i="3"/>
  <c r="J207" i="3"/>
  <c r="K207" i="3"/>
  <c r="G208" i="3"/>
  <c r="I208" i="3"/>
  <c r="J208" i="3"/>
  <c r="K208" i="3"/>
  <c r="G143" i="3"/>
  <c r="I143" i="3"/>
  <c r="J143" i="3"/>
  <c r="K143" i="3"/>
  <c r="G145" i="3"/>
  <c r="I145" i="3"/>
  <c r="J145" i="3"/>
  <c r="K145" i="3"/>
  <c r="G209" i="3"/>
  <c r="I209" i="3"/>
  <c r="J209" i="3"/>
  <c r="K209" i="3"/>
  <c r="G148" i="3"/>
  <c r="I148" i="3"/>
  <c r="J148" i="3"/>
  <c r="K148" i="3"/>
  <c r="G210" i="3"/>
  <c r="I210" i="3"/>
  <c r="J210" i="3"/>
  <c r="K210" i="3"/>
  <c r="G149" i="3"/>
  <c r="I149" i="3"/>
  <c r="J149" i="3"/>
  <c r="K149" i="3"/>
  <c r="G211" i="3"/>
  <c r="I211" i="3"/>
  <c r="J211" i="3"/>
  <c r="K211" i="3"/>
  <c r="G212" i="3"/>
  <c r="I212" i="3"/>
  <c r="J212" i="3"/>
  <c r="K212" i="3"/>
  <c r="G213" i="3"/>
  <c r="I213" i="3"/>
  <c r="J213" i="3"/>
  <c r="K213" i="3"/>
  <c r="G136" i="3"/>
  <c r="I136" i="3"/>
  <c r="J136" i="3"/>
  <c r="K136" i="3"/>
  <c r="G156" i="3"/>
  <c r="I156" i="3"/>
  <c r="J156" i="3"/>
  <c r="K156" i="3"/>
  <c r="G214" i="3"/>
  <c r="I214" i="3"/>
  <c r="J214" i="3"/>
  <c r="K214" i="3"/>
  <c r="G215" i="3"/>
  <c r="I215" i="3"/>
  <c r="J215" i="3"/>
  <c r="K215" i="3"/>
  <c r="G160" i="3"/>
  <c r="I160" i="3"/>
  <c r="J160" i="3"/>
  <c r="K160" i="3"/>
  <c r="G162" i="3"/>
  <c r="I162" i="3"/>
  <c r="J162" i="3"/>
  <c r="K162" i="3"/>
  <c r="G216" i="3"/>
  <c r="I216" i="3"/>
  <c r="J216" i="3"/>
  <c r="K216" i="3"/>
  <c r="G217" i="3"/>
  <c r="I217" i="3"/>
  <c r="J217" i="3"/>
  <c r="K217" i="3"/>
  <c r="G218" i="3"/>
  <c r="I218" i="3"/>
  <c r="J218" i="3"/>
  <c r="K218" i="3"/>
  <c r="G219" i="3"/>
  <c r="I219" i="3"/>
  <c r="J219" i="3"/>
  <c r="K219" i="3"/>
  <c r="G220" i="3"/>
  <c r="I220" i="3"/>
  <c r="J220" i="3"/>
  <c r="K220" i="3"/>
  <c r="G221" i="3"/>
  <c r="I221" i="3"/>
  <c r="J221" i="3"/>
  <c r="K221" i="3"/>
  <c r="G222" i="3"/>
  <c r="I222" i="3"/>
  <c r="J222" i="3"/>
  <c r="K222" i="3"/>
  <c r="G223" i="3"/>
  <c r="I223" i="3"/>
  <c r="J223" i="3"/>
  <c r="K223" i="3"/>
  <c r="G224" i="3"/>
  <c r="I224" i="3"/>
  <c r="J224" i="3"/>
  <c r="K224" i="3"/>
  <c r="G225" i="3"/>
  <c r="I225" i="3"/>
  <c r="J225" i="3"/>
  <c r="K225" i="3"/>
  <c r="G226" i="3"/>
  <c r="I226" i="3"/>
  <c r="J226" i="3"/>
  <c r="K226" i="3"/>
  <c r="G227" i="3"/>
  <c r="I227" i="3"/>
  <c r="J227" i="3"/>
  <c r="K227" i="3"/>
  <c r="G228" i="3"/>
  <c r="I228" i="3"/>
  <c r="J228" i="3"/>
  <c r="K228" i="3"/>
  <c r="G229" i="3"/>
  <c r="I229" i="3"/>
  <c r="J229" i="3"/>
  <c r="K229" i="3"/>
  <c r="G230" i="3"/>
  <c r="I230" i="3"/>
  <c r="J230" i="3"/>
  <c r="K230" i="3"/>
  <c r="G231" i="3"/>
  <c r="I231" i="3"/>
  <c r="J231" i="3"/>
  <c r="K231" i="3"/>
  <c r="G232" i="3"/>
  <c r="I232" i="3"/>
  <c r="J232" i="3"/>
  <c r="K232" i="3"/>
  <c r="G233" i="3"/>
  <c r="I233" i="3"/>
  <c r="J233" i="3"/>
  <c r="K233" i="3"/>
  <c r="G234" i="3"/>
  <c r="I234" i="3"/>
  <c r="J234" i="3"/>
  <c r="K234" i="3"/>
  <c r="G235" i="3"/>
  <c r="I235" i="3"/>
  <c r="J235" i="3"/>
  <c r="K235" i="3"/>
  <c r="G236" i="3"/>
  <c r="I236" i="3"/>
  <c r="J236" i="3"/>
  <c r="K236" i="3"/>
  <c r="G237" i="3"/>
  <c r="I237" i="3"/>
  <c r="J237" i="3"/>
  <c r="K237" i="3"/>
  <c r="G238" i="3"/>
  <c r="I238" i="3"/>
  <c r="J238" i="3"/>
  <c r="K238" i="3"/>
  <c r="G239" i="3"/>
  <c r="I239" i="3"/>
  <c r="J239" i="3"/>
  <c r="K239" i="3"/>
  <c r="G240" i="3"/>
  <c r="I240" i="3"/>
  <c r="J240" i="3"/>
  <c r="K240" i="3"/>
  <c r="G241" i="3"/>
  <c r="I241" i="3"/>
  <c r="J241" i="3"/>
  <c r="K241" i="3"/>
  <c r="G242" i="3"/>
  <c r="I242" i="3"/>
  <c r="J242" i="3"/>
  <c r="K242" i="3"/>
  <c r="G243" i="3"/>
  <c r="I243" i="3"/>
  <c r="J243" i="3"/>
  <c r="K243" i="3"/>
  <c r="G244" i="3"/>
  <c r="I244" i="3"/>
  <c r="J244" i="3"/>
  <c r="K244" i="3"/>
  <c r="G245" i="3"/>
  <c r="I245" i="3"/>
  <c r="J245" i="3"/>
  <c r="K245" i="3"/>
  <c r="G246" i="3"/>
  <c r="I246" i="3"/>
  <c r="J246" i="3"/>
  <c r="K246" i="3"/>
  <c r="G247" i="3"/>
  <c r="I247" i="3"/>
  <c r="J247" i="3"/>
  <c r="K247" i="3"/>
  <c r="G248" i="3"/>
  <c r="I248" i="3"/>
  <c r="J248" i="3"/>
  <c r="K248" i="3"/>
  <c r="G249" i="3"/>
  <c r="I249" i="3"/>
  <c r="J249" i="3"/>
  <c r="K249" i="3"/>
  <c r="G250" i="3"/>
  <c r="I250" i="3"/>
  <c r="J250" i="3"/>
  <c r="K250" i="3"/>
  <c r="G251" i="3"/>
  <c r="I251" i="3"/>
  <c r="J251" i="3"/>
  <c r="K251" i="3"/>
  <c r="G252" i="3"/>
  <c r="I252" i="3"/>
  <c r="J252" i="3"/>
  <c r="K252" i="3"/>
  <c r="G253" i="3"/>
  <c r="I253" i="3"/>
  <c r="J253" i="3"/>
  <c r="K253" i="3"/>
  <c r="G254" i="3"/>
  <c r="I254" i="3"/>
  <c r="J254" i="3"/>
  <c r="K254" i="3"/>
  <c r="G255" i="3"/>
  <c r="I255" i="3"/>
  <c r="J255" i="3"/>
  <c r="K255" i="3"/>
  <c r="G256" i="3"/>
  <c r="I256" i="3"/>
  <c r="J256" i="3"/>
  <c r="K256" i="3"/>
  <c r="G259" i="3"/>
  <c r="I259" i="3"/>
  <c r="J259" i="3"/>
  <c r="K259" i="3"/>
  <c r="G257" i="3"/>
  <c r="I257" i="3"/>
  <c r="J257" i="3"/>
  <c r="K257" i="3"/>
  <c r="G258" i="3"/>
  <c r="I258" i="3"/>
  <c r="J258" i="3"/>
  <c r="K258" i="3"/>
  <c r="G69" i="3"/>
  <c r="I69" i="3"/>
  <c r="J69" i="3"/>
  <c r="K69" i="3"/>
  <c r="G54" i="3"/>
  <c r="I54" i="3"/>
  <c r="J54" i="3"/>
  <c r="K54" i="3"/>
  <c r="G29" i="3"/>
  <c r="I29" i="3"/>
  <c r="J29" i="3"/>
  <c r="K29" i="3"/>
  <c r="G8" i="3"/>
  <c r="I8" i="3"/>
  <c r="J8" i="3"/>
  <c r="K8" i="3"/>
  <c r="G30" i="3"/>
  <c r="I30" i="3"/>
  <c r="J30" i="3"/>
  <c r="K30" i="3"/>
  <c r="AE70" i="1"/>
  <c r="D2" i="2"/>
  <c r="D10" i="2"/>
  <c r="D4" i="2"/>
  <c r="D5" i="2"/>
  <c r="D17" i="2"/>
  <c r="D9" i="2"/>
  <c r="D14" i="2"/>
  <c r="D8" i="2"/>
  <c r="D7" i="2"/>
  <c r="D20" i="2"/>
  <c r="D12" i="2"/>
  <c r="D23" i="2"/>
  <c r="D16" i="2"/>
  <c r="D6" i="2"/>
  <c r="D32" i="2"/>
  <c r="D25" i="2"/>
  <c r="D13" i="2"/>
  <c r="D15" i="2"/>
  <c r="D11" i="2"/>
  <c r="D31" i="2"/>
  <c r="D27" i="2"/>
  <c r="D41" i="2"/>
  <c r="D33" i="2"/>
  <c r="D57" i="2"/>
  <c r="D71" i="2"/>
  <c r="D30" i="2"/>
  <c r="D24" i="2"/>
  <c r="D22" i="2"/>
  <c r="D18" i="2"/>
  <c r="D29" i="2"/>
  <c r="D35" i="2"/>
  <c r="D45" i="2"/>
  <c r="D51" i="2"/>
  <c r="D60" i="2"/>
  <c r="D59" i="2"/>
  <c r="D73" i="2"/>
  <c r="D34" i="2"/>
  <c r="D28" i="2"/>
  <c r="D40" i="2"/>
  <c r="D21" i="2"/>
  <c r="D37" i="2"/>
  <c r="D70" i="2"/>
  <c r="D38" i="2"/>
  <c r="D39" i="2"/>
  <c r="D42" i="2"/>
  <c r="D49" i="2"/>
  <c r="D47" i="2"/>
  <c r="D67" i="2"/>
  <c r="D44" i="2"/>
  <c r="D43" i="2"/>
  <c r="D61" i="2"/>
  <c r="D50" i="2"/>
  <c r="D55" i="2"/>
  <c r="D36" i="2"/>
  <c r="D69" i="2"/>
  <c r="D52" i="2"/>
  <c r="D58" i="2"/>
  <c r="D54" i="2"/>
  <c r="D56" i="2"/>
  <c r="D46" i="2"/>
  <c r="D64" i="2"/>
  <c r="D63" i="2"/>
  <c r="D48" i="2"/>
  <c r="D68" i="2"/>
  <c r="D65" i="2"/>
  <c r="D72" i="2"/>
  <c r="D53" i="2"/>
  <c r="D26" i="2"/>
  <c r="D66" i="2"/>
  <c r="D62" i="2"/>
  <c r="D19" i="2"/>
  <c r="D3" i="2"/>
  <c r="AG55" i="3"/>
  <c r="AF37" i="2"/>
  <c r="K9" i="3"/>
  <c r="J9" i="3"/>
  <c r="I9" i="3"/>
  <c r="G9" i="3"/>
  <c r="K45" i="3"/>
  <c r="J45" i="3"/>
  <c r="I45" i="3"/>
  <c r="G45" i="3"/>
  <c r="K22" i="3"/>
  <c r="J22" i="3"/>
  <c r="I22" i="3"/>
  <c r="G22" i="3"/>
  <c r="K53" i="3"/>
  <c r="J53" i="3"/>
  <c r="I53" i="3"/>
  <c r="G53" i="3"/>
  <c r="K67" i="3"/>
  <c r="J67" i="3"/>
  <c r="I67" i="3"/>
  <c r="G67" i="3"/>
  <c r="K50" i="3"/>
  <c r="J50" i="3"/>
  <c r="I50" i="3"/>
  <c r="G50" i="3"/>
  <c r="K64" i="3"/>
  <c r="J64" i="3"/>
  <c r="I64" i="3"/>
  <c r="G64" i="3"/>
  <c r="K76" i="3"/>
  <c r="J76" i="3"/>
  <c r="I76" i="3"/>
  <c r="G76" i="3"/>
  <c r="AF43" i="3"/>
  <c r="K43" i="3"/>
  <c r="J43" i="3"/>
  <c r="I43" i="3"/>
  <c r="G43" i="3"/>
  <c r="K61" i="3"/>
  <c r="J61" i="3"/>
  <c r="I61" i="3"/>
  <c r="G61" i="3"/>
  <c r="K17" i="3"/>
  <c r="J17" i="3"/>
  <c r="I17" i="3"/>
  <c r="G17" i="3"/>
  <c r="K57" i="3"/>
  <c r="J57" i="3"/>
  <c r="I57" i="3"/>
  <c r="G57" i="3"/>
  <c r="K42" i="3"/>
  <c r="J42" i="3"/>
  <c r="I42" i="3"/>
  <c r="G42" i="3"/>
  <c r="K49" i="3"/>
  <c r="J49" i="3"/>
  <c r="I49" i="3"/>
  <c r="G49" i="3"/>
  <c r="K70" i="3"/>
  <c r="J70" i="3"/>
  <c r="I70" i="3"/>
  <c r="G70" i="3"/>
  <c r="K59" i="3"/>
  <c r="J59" i="3"/>
  <c r="I59" i="3"/>
  <c r="G59" i="3"/>
  <c r="K100" i="3"/>
  <c r="J100" i="3"/>
  <c r="I100" i="3"/>
  <c r="G100" i="3"/>
  <c r="K38" i="3"/>
  <c r="J38" i="3"/>
  <c r="I38" i="3"/>
  <c r="G38" i="3"/>
  <c r="K39" i="3"/>
  <c r="J39" i="3"/>
  <c r="I39" i="3"/>
  <c r="G39" i="3"/>
  <c r="K24" i="3"/>
  <c r="J24" i="3"/>
  <c r="I24" i="3"/>
  <c r="G24" i="3"/>
  <c r="K48" i="3"/>
  <c r="J48" i="3"/>
  <c r="I48" i="3"/>
  <c r="G48" i="3"/>
  <c r="K44" i="3"/>
  <c r="J44" i="3"/>
  <c r="I44" i="3"/>
  <c r="G44" i="3"/>
  <c r="K23" i="3"/>
  <c r="J23" i="3"/>
  <c r="I23" i="3"/>
  <c r="G23" i="3"/>
  <c r="K51" i="3"/>
  <c r="J51" i="3"/>
  <c r="I51" i="3"/>
  <c r="G51" i="3"/>
  <c r="K27" i="3"/>
  <c r="J27" i="3"/>
  <c r="I27" i="3"/>
  <c r="G27" i="3"/>
  <c r="K32" i="3"/>
  <c r="J32" i="3"/>
  <c r="I32" i="3"/>
  <c r="G32" i="3"/>
  <c r="K65" i="3"/>
  <c r="J65" i="3"/>
  <c r="I65" i="3"/>
  <c r="G65" i="3"/>
  <c r="K60" i="3"/>
  <c r="J60" i="3"/>
  <c r="I60" i="3"/>
  <c r="G60" i="3"/>
  <c r="K16" i="3"/>
  <c r="J16" i="3"/>
  <c r="I16" i="3"/>
  <c r="G16" i="3"/>
  <c r="K83" i="3"/>
  <c r="J83" i="3"/>
  <c r="I83" i="3"/>
  <c r="G83" i="3"/>
  <c r="K11" i="3"/>
  <c r="J11" i="3"/>
  <c r="I11" i="3"/>
  <c r="G11" i="3"/>
  <c r="K34" i="3"/>
  <c r="J34" i="3"/>
  <c r="I34" i="3"/>
  <c r="G34" i="3"/>
  <c r="K47" i="3"/>
  <c r="J47" i="3"/>
  <c r="I47" i="3"/>
  <c r="G47" i="3"/>
  <c r="K21" i="3"/>
  <c r="J21" i="3"/>
  <c r="I21" i="3"/>
  <c r="G21" i="3"/>
  <c r="K40" i="3"/>
  <c r="J40" i="3"/>
  <c r="I40" i="3"/>
  <c r="G40" i="3"/>
  <c r="K41" i="3"/>
  <c r="J41" i="3"/>
  <c r="I41" i="3"/>
  <c r="G41" i="3"/>
  <c r="K19" i="3"/>
  <c r="J19" i="3"/>
  <c r="I19" i="3"/>
  <c r="G19" i="3"/>
  <c r="K25" i="3"/>
  <c r="J25" i="3"/>
  <c r="I25" i="3"/>
  <c r="G25" i="3"/>
  <c r="K55" i="3"/>
  <c r="J55" i="3"/>
  <c r="I55" i="3"/>
  <c r="G55" i="3"/>
  <c r="K20" i="3"/>
  <c r="J20" i="3"/>
  <c r="I20" i="3"/>
  <c r="G20" i="3"/>
  <c r="K35" i="3"/>
  <c r="J35" i="3"/>
  <c r="I35" i="3"/>
  <c r="G35" i="3"/>
  <c r="K58" i="3"/>
  <c r="J58" i="3"/>
  <c r="I58" i="3"/>
  <c r="G58" i="3"/>
  <c r="K37" i="3"/>
  <c r="J37" i="3"/>
  <c r="I37" i="3"/>
  <c r="G37" i="3"/>
  <c r="K18" i="3"/>
  <c r="J18" i="3"/>
  <c r="I18" i="3"/>
  <c r="G18" i="3"/>
  <c r="K3" i="3"/>
  <c r="J3" i="3"/>
  <c r="I3" i="3"/>
  <c r="G3" i="3"/>
  <c r="K31" i="3"/>
  <c r="J31" i="3"/>
  <c r="I31" i="3"/>
  <c r="G31" i="3"/>
  <c r="K5" i="3"/>
  <c r="J5" i="3"/>
  <c r="I5" i="3"/>
  <c r="G5" i="3"/>
  <c r="K6" i="3"/>
  <c r="J6" i="3"/>
  <c r="I6" i="3"/>
  <c r="G6" i="3"/>
  <c r="K12" i="3"/>
  <c r="J12" i="3"/>
  <c r="I12" i="3"/>
  <c r="G12" i="3"/>
  <c r="K10" i="3"/>
  <c r="J10" i="3"/>
  <c r="I10" i="3"/>
  <c r="G10" i="3"/>
  <c r="K13" i="3"/>
  <c r="J13" i="3"/>
  <c r="I13" i="3"/>
  <c r="G13" i="3"/>
  <c r="K4" i="3"/>
  <c r="J4" i="3"/>
  <c r="I4" i="3"/>
  <c r="G4" i="3"/>
  <c r="K36" i="3"/>
  <c r="J36" i="3"/>
  <c r="I36" i="3"/>
  <c r="G36" i="3"/>
  <c r="K28" i="3"/>
  <c r="J28" i="3"/>
  <c r="I28" i="3"/>
  <c r="G28" i="3"/>
  <c r="K26" i="3"/>
  <c r="J26" i="3"/>
  <c r="I26" i="3"/>
  <c r="G26" i="3"/>
  <c r="K2" i="3"/>
  <c r="J2" i="3"/>
  <c r="I2" i="3"/>
  <c r="K19" i="2"/>
  <c r="J19" i="2"/>
  <c r="I19" i="2"/>
  <c r="G19" i="2"/>
  <c r="K62" i="2"/>
  <c r="J62" i="2"/>
  <c r="I62" i="2"/>
  <c r="G62" i="2"/>
  <c r="K66" i="2"/>
  <c r="J66" i="2"/>
  <c r="I66" i="2"/>
  <c r="G66" i="2"/>
  <c r="K26" i="2"/>
  <c r="J26" i="2"/>
  <c r="I26" i="2"/>
  <c r="G26" i="2"/>
  <c r="K53" i="2"/>
  <c r="J53" i="2"/>
  <c r="I53" i="2"/>
  <c r="G53" i="2"/>
  <c r="K72" i="2"/>
  <c r="J72" i="2"/>
  <c r="I72" i="2"/>
  <c r="G72" i="2"/>
  <c r="K65" i="2"/>
  <c r="J65" i="2"/>
  <c r="I65" i="2"/>
  <c r="G65" i="2"/>
  <c r="K68" i="2"/>
  <c r="J68" i="2"/>
  <c r="I68" i="2"/>
  <c r="G68" i="2"/>
  <c r="K48" i="2"/>
  <c r="J48" i="2"/>
  <c r="I48" i="2"/>
  <c r="G48" i="2"/>
  <c r="K63" i="2"/>
  <c r="J63" i="2"/>
  <c r="I63" i="2"/>
  <c r="G63" i="2"/>
  <c r="K64" i="2"/>
  <c r="J64" i="2"/>
  <c r="I64" i="2"/>
  <c r="G64" i="2"/>
  <c r="K46" i="2"/>
  <c r="J46" i="2"/>
  <c r="I46" i="2"/>
  <c r="G46" i="2"/>
  <c r="K56" i="2"/>
  <c r="J56" i="2"/>
  <c r="I56" i="2"/>
  <c r="G56" i="2"/>
  <c r="K54" i="2"/>
  <c r="J54" i="2"/>
  <c r="I54" i="2"/>
  <c r="G54" i="2"/>
  <c r="K58" i="2"/>
  <c r="J58" i="2"/>
  <c r="I58" i="2"/>
  <c r="G58" i="2"/>
  <c r="K52" i="2"/>
  <c r="J52" i="2"/>
  <c r="I52" i="2"/>
  <c r="G52" i="2"/>
  <c r="K69" i="2"/>
  <c r="J69" i="2"/>
  <c r="I69" i="2"/>
  <c r="G69" i="2"/>
  <c r="K36" i="2"/>
  <c r="J36" i="2"/>
  <c r="I36" i="2"/>
  <c r="G36" i="2"/>
  <c r="K55" i="2"/>
  <c r="J55" i="2"/>
  <c r="I55" i="2"/>
  <c r="G55" i="2"/>
  <c r="K50" i="2"/>
  <c r="J50" i="2"/>
  <c r="I50" i="2"/>
  <c r="G50" i="2"/>
  <c r="K61" i="2"/>
  <c r="J61" i="2"/>
  <c r="I61" i="2"/>
  <c r="G61" i="2"/>
  <c r="K43" i="2"/>
  <c r="J43" i="2"/>
  <c r="I43" i="2"/>
  <c r="G43" i="2"/>
  <c r="K44" i="2"/>
  <c r="J44" i="2"/>
  <c r="I44" i="2"/>
  <c r="G44" i="2"/>
  <c r="K67" i="2"/>
  <c r="J67" i="2"/>
  <c r="I67" i="2"/>
  <c r="G67" i="2"/>
  <c r="K47" i="2"/>
  <c r="J47" i="2"/>
  <c r="I47" i="2"/>
  <c r="G47" i="2"/>
  <c r="K49" i="2"/>
  <c r="J49" i="2"/>
  <c r="I49" i="2"/>
  <c r="G49" i="2"/>
  <c r="K42" i="2"/>
  <c r="J42" i="2"/>
  <c r="I42" i="2"/>
  <c r="G42" i="2"/>
  <c r="K39" i="2"/>
  <c r="J39" i="2"/>
  <c r="I39" i="2"/>
  <c r="G39" i="2"/>
  <c r="K38" i="2"/>
  <c r="J38" i="2"/>
  <c r="I38" i="2"/>
  <c r="G38" i="2"/>
  <c r="K70" i="2"/>
  <c r="J70" i="2"/>
  <c r="I70" i="2"/>
  <c r="G70" i="2"/>
  <c r="K37" i="2"/>
  <c r="J37" i="2"/>
  <c r="I37" i="2"/>
  <c r="G37" i="2"/>
  <c r="K21" i="2"/>
  <c r="J21" i="2"/>
  <c r="I21" i="2"/>
  <c r="G21" i="2"/>
  <c r="K40" i="2"/>
  <c r="J40" i="2"/>
  <c r="I40" i="2"/>
  <c r="G40" i="2"/>
  <c r="K28" i="2"/>
  <c r="J28" i="2"/>
  <c r="I28" i="2"/>
  <c r="G28" i="2"/>
  <c r="K34" i="2"/>
  <c r="J34" i="2"/>
  <c r="I34" i="2"/>
  <c r="G34" i="2"/>
  <c r="K73" i="2"/>
  <c r="J73" i="2"/>
  <c r="I73" i="2"/>
  <c r="G73" i="2"/>
  <c r="K59" i="2"/>
  <c r="J59" i="2"/>
  <c r="I59" i="2"/>
  <c r="G59" i="2"/>
  <c r="K60" i="2"/>
  <c r="J60" i="2"/>
  <c r="I60" i="2"/>
  <c r="G60" i="2"/>
  <c r="K51" i="2"/>
  <c r="J51" i="2"/>
  <c r="I51" i="2"/>
  <c r="G51" i="2"/>
  <c r="K45" i="2"/>
  <c r="J45" i="2"/>
  <c r="I45" i="2"/>
  <c r="G45" i="2"/>
  <c r="K35" i="2"/>
  <c r="J35" i="2"/>
  <c r="I35" i="2"/>
  <c r="G35" i="2"/>
  <c r="K29" i="2"/>
  <c r="J29" i="2"/>
  <c r="I29" i="2"/>
  <c r="G29" i="2"/>
  <c r="K18" i="2"/>
  <c r="J18" i="2"/>
  <c r="I18" i="2"/>
  <c r="G18" i="2"/>
  <c r="K22" i="2"/>
  <c r="J22" i="2"/>
  <c r="I22" i="2"/>
  <c r="G22" i="2"/>
  <c r="K24" i="2"/>
  <c r="J24" i="2"/>
  <c r="I24" i="2"/>
  <c r="G24" i="2"/>
  <c r="K30" i="2"/>
  <c r="J30" i="2"/>
  <c r="I30" i="2"/>
  <c r="G30" i="2"/>
  <c r="K71" i="2"/>
  <c r="J71" i="2"/>
  <c r="I71" i="2"/>
  <c r="G71" i="2"/>
  <c r="K57" i="2"/>
  <c r="J57" i="2"/>
  <c r="I57" i="2"/>
  <c r="G57" i="2"/>
  <c r="K33" i="2"/>
  <c r="J33" i="2"/>
  <c r="I33" i="2"/>
  <c r="G33" i="2"/>
  <c r="K41" i="2"/>
  <c r="J41" i="2"/>
  <c r="I41" i="2"/>
  <c r="G41" i="2"/>
  <c r="K27" i="2"/>
  <c r="J27" i="2"/>
  <c r="I27" i="2"/>
  <c r="G27" i="2"/>
  <c r="K31" i="2"/>
  <c r="J31" i="2"/>
  <c r="I31" i="2"/>
  <c r="G31" i="2"/>
  <c r="K11" i="2"/>
  <c r="J11" i="2"/>
  <c r="I11" i="2"/>
  <c r="G11" i="2"/>
  <c r="K15" i="2"/>
  <c r="J15" i="2"/>
  <c r="I15" i="2"/>
  <c r="G15" i="2"/>
  <c r="K13" i="2"/>
  <c r="J13" i="2"/>
  <c r="I13" i="2"/>
  <c r="G13" i="2"/>
  <c r="K25" i="2"/>
  <c r="J25" i="2"/>
  <c r="I25" i="2"/>
  <c r="G25" i="2"/>
  <c r="K32" i="2"/>
  <c r="J32" i="2"/>
  <c r="I32" i="2"/>
  <c r="G32" i="2"/>
  <c r="K6" i="2"/>
  <c r="J6" i="2"/>
  <c r="I6" i="2"/>
  <c r="G6" i="2"/>
  <c r="K16" i="2"/>
  <c r="J16" i="2"/>
  <c r="I16" i="2"/>
  <c r="G16" i="2"/>
  <c r="K23" i="2"/>
  <c r="J23" i="2"/>
  <c r="I23" i="2"/>
  <c r="G23" i="2"/>
  <c r="K12" i="2"/>
  <c r="J12" i="2"/>
  <c r="I12" i="2"/>
  <c r="G12" i="2"/>
  <c r="K20" i="2"/>
  <c r="J20" i="2"/>
  <c r="I20" i="2"/>
  <c r="G20" i="2"/>
  <c r="K7" i="2"/>
  <c r="J7" i="2"/>
  <c r="I7" i="2"/>
  <c r="G7" i="2"/>
  <c r="K8" i="2"/>
  <c r="J8" i="2"/>
  <c r="I8" i="2"/>
  <c r="G8" i="2"/>
  <c r="K14" i="2"/>
  <c r="J14" i="2"/>
  <c r="I14" i="2"/>
  <c r="G14" i="2"/>
  <c r="K9" i="2"/>
  <c r="J9" i="2"/>
  <c r="I9" i="2"/>
  <c r="G9" i="2"/>
  <c r="K17" i="2"/>
  <c r="J17" i="2"/>
  <c r="I17" i="2"/>
  <c r="G17" i="2"/>
  <c r="K5" i="2"/>
  <c r="J5" i="2"/>
  <c r="I5" i="2"/>
  <c r="G5" i="2"/>
  <c r="K4" i="2"/>
  <c r="J4" i="2"/>
  <c r="I4" i="2"/>
  <c r="G4" i="2"/>
  <c r="K10" i="2"/>
  <c r="J10" i="2"/>
  <c r="I10" i="2"/>
  <c r="G10" i="2"/>
  <c r="K2" i="2"/>
  <c r="J2" i="2"/>
  <c r="I2" i="2"/>
  <c r="G2" i="2"/>
  <c r="K3" i="2"/>
  <c r="J3" i="2"/>
  <c r="I3" i="2"/>
  <c r="G3" i="2"/>
  <c r="AF33" i="1"/>
</calcChain>
</file>

<file path=xl/sharedStrings.xml><?xml version="1.0" encoding="utf-8"?>
<sst xmlns="http://schemas.openxmlformats.org/spreadsheetml/2006/main" count="11444" uniqueCount="826">
  <si>
    <t>#</t>
  </si>
  <si>
    <t>Player</t>
  </si>
  <si>
    <t>Team</t>
  </si>
  <si>
    <t>AVG</t>
  </si>
  <si>
    <t>TTL</t>
  </si>
  <si>
    <t>Saquon Barkley</t>
  </si>
  <si>
    <t>PHI</t>
  </si>
  <si>
    <t>BYE</t>
  </si>
  <si>
    <t>-</t>
  </si>
  <si>
    <t>Jahmyr Gibbs</t>
  </si>
  <si>
    <t>DET</t>
  </si>
  <si>
    <t>Derrick Henry</t>
  </si>
  <si>
    <t>BAL</t>
  </si>
  <si>
    <t>Bijan Robinson</t>
  </si>
  <si>
    <t>ATL</t>
  </si>
  <si>
    <t>Josh Jacobs</t>
  </si>
  <si>
    <t>GB</t>
  </si>
  <si>
    <t>De'Von Achane</t>
  </si>
  <si>
    <t>MIA</t>
  </si>
  <si>
    <t>Kyren Williams</t>
  </si>
  <si>
    <t>LAR</t>
  </si>
  <si>
    <t>James Cook</t>
  </si>
  <si>
    <t>BUF</t>
  </si>
  <si>
    <t>Jonathan Taylor</t>
  </si>
  <si>
    <t>IND</t>
  </si>
  <si>
    <t>Alvin Kamara</t>
  </si>
  <si>
    <t>NO</t>
  </si>
  <si>
    <t>James Conner</t>
  </si>
  <si>
    <t>ARI</t>
  </si>
  <si>
    <t>Chase Brown</t>
  </si>
  <si>
    <t>CIN</t>
  </si>
  <si>
    <t>Joe Mixon</t>
  </si>
  <si>
    <t>HOU</t>
  </si>
  <si>
    <t>Bucky Irving</t>
  </si>
  <si>
    <t>TB</t>
  </si>
  <si>
    <t>Chuba Hubbard</t>
  </si>
  <si>
    <t>CAR</t>
  </si>
  <si>
    <t>Aaron Jones Sr.</t>
  </si>
  <si>
    <t>MIN</t>
  </si>
  <si>
    <t>Breece Hall</t>
  </si>
  <si>
    <t>NYJ</t>
  </si>
  <si>
    <t>David Montgomery</t>
  </si>
  <si>
    <t>D'Andre Swift</t>
  </si>
  <si>
    <t>CHI</t>
  </si>
  <si>
    <t>Najee Harris</t>
  </si>
  <si>
    <t>LAC</t>
  </si>
  <si>
    <t>Tony Pollard</t>
  </si>
  <si>
    <t>TEN</t>
  </si>
  <si>
    <t>Rico Dowdle</t>
  </si>
  <si>
    <t>J.K. Dobbins</t>
  </si>
  <si>
    <t>DEN</t>
  </si>
  <si>
    <t>Rachaad White</t>
  </si>
  <si>
    <t>Zach Charbonnet</t>
  </si>
  <si>
    <t>SEA</t>
  </si>
  <si>
    <t>Tyrone Tracy Jr.</t>
  </si>
  <si>
    <t>NYG</t>
  </si>
  <si>
    <t>Rhamondre Stevenson</t>
  </si>
  <si>
    <t>NE</t>
  </si>
  <si>
    <t>Kenneth Walker III</t>
  </si>
  <si>
    <t>Brian Robinson Jr.</t>
  </si>
  <si>
    <t>WAS</t>
  </si>
  <si>
    <t>Kareem Hunt</t>
  </si>
  <si>
    <t>KC</t>
  </si>
  <si>
    <t>Javonte Williams</t>
  </si>
  <si>
    <t>DAL</t>
  </si>
  <si>
    <t>Tank Bigsby</t>
  </si>
  <si>
    <t>JAC</t>
  </si>
  <si>
    <t>Alexander Mattison</t>
  </si>
  <si>
    <t>Jerome Ford</t>
  </si>
  <si>
    <t>CLE</t>
  </si>
  <si>
    <t>Austin Ekeler</t>
  </si>
  <si>
    <t>Travis Etienne Jr.</t>
  </si>
  <si>
    <t>Jordan Mason</t>
  </si>
  <si>
    <t>Ray Davis</t>
  </si>
  <si>
    <t>Justice Hill</t>
  </si>
  <si>
    <t>Ameer Abdullah</t>
  </si>
  <si>
    <t>SF</t>
  </si>
  <si>
    <t>Jaylen Warren</t>
  </si>
  <si>
    <t>PIT</t>
  </si>
  <si>
    <t>Tyler Allgeier</t>
  </si>
  <si>
    <t>Tyjae Spears</t>
  </si>
  <si>
    <t>Antonio Gibson</t>
  </si>
  <si>
    <t>Emanuel Wilson</t>
  </si>
  <si>
    <t>Isaac Guerendo</t>
  </si>
  <si>
    <t>Cam Akers</t>
  </si>
  <si>
    <t>Devin Singletary</t>
  </si>
  <si>
    <t>Jaleel McLaughlin</t>
  </si>
  <si>
    <t>Ty Johnson</t>
  </si>
  <si>
    <t>Braelon Allen</t>
  </si>
  <si>
    <t>Zack Moss</t>
  </si>
  <si>
    <t>FA</t>
  </si>
  <si>
    <t>Roschon Johnson</t>
  </si>
  <si>
    <t>Samaje Perine</t>
  </si>
  <si>
    <t>Miles Sanders</t>
  </si>
  <si>
    <t>Sean Tucker</t>
  </si>
  <si>
    <t>Gus Edwards</t>
  </si>
  <si>
    <t>Raheem Mostert</t>
  </si>
  <si>
    <t>LV</t>
  </si>
  <si>
    <t>Nick Chubb</t>
  </si>
  <si>
    <t>Jeremy McNichols</t>
  </si>
  <si>
    <t>Kenneth Gainwell</t>
  </si>
  <si>
    <t>Ezekiel Elliott</t>
  </si>
  <si>
    <t>Isiah Pacheco</t>
  </si>
  <si>
    <t>Kyle Juszczyk</t>
  </si>
  <si>
    <t>Emari Demercado</t>
  </si>
  <si>
    <t>Dare Ogunbowale</t>
  </si>
  <si>
    <t>Audric Estime</t>
  </si>
  <si>
    <t>Trey Sermon</t>
  </si>
  <si>
    <t>Trey Benson</t>
  </si>
  <si>
    <t>Dameon Pierce</t>
  </si>
  <si>
    <t>Isaiah Davis</t>
  </si>
  <si>
    <t>Christian McCaffrey</t>
  </si>
  <si>
    <t>Games Played</t>
  </si>
  <si>
    <t>10+ Games</t>
  </si>
  <si>
    <t>20+ Games</t>
  </si>
  <si>
    <t>30+ Games</t>
  </si>
  <si>
    <t>Ja'Marr Chase</t>
  </si>
  <si>
    <t>Justin Jefferson</t>
  </si>
  <si>
    <t>Amon-Ra St. Brown</t>
  </si>
  <si>
    <t>Brian Thomas Jr.</t>
  </si>
  <si>
    <t>Drake London</t>
  </si>
  <si>
    <t>Terry McLaurin</t>
  </si>
  <si>
    <t>Malik Nabers</t>
  </si>
  <si>
    <t>CeeDee Lamb</t>
  </si>
  <si>
    <t>Mike Evans</t>
  </si>
  <si>
    <t>Jaxon Smith-Njigba</t>
  </si>
  <si>
    <t>Garrett Wilson</t>
  </si>
  <si>
    <t>Ladd McConkey</t>
  </si>
  <si>
    <t>Courtland Sutton</t>
  </si>
  <si>
    <t>Davante Adams</t>
  </si>
  <si>
    <t>Jerry Jeudy</t>
  </si>
  <si>
    <t>DJ Moore</t>
  </si>
  <si>
    <t>Tee Higgins</t>
  </si>
  <si>
    <t>A.J. Brown</t>
  </si>
  <si>
    <t>Jameson Williams</t>
  </si>
  <si>
    <t>Jordan Addison</t>
  </si>
  <si>
    <t>Tyreek Hill</t>
  </si>
  <si>
    <t>Nico Collins</t>
  </si>
  <si>
    <t>Jakobi Meyers</t>
  </si>
  <si>
    <t>Zay Flowers</t>
  </si>
  <si>
    <t>Jauan Jennings</t>
  </si>
  <si>
    <t>Jayden Reed</t>
  </si>
  <si>
    <t>Calvin Ridley</t>
  </si>
  <si>
    <t>Puka Nacua</t>
  </si>
  <si>
    <t>Marvin Harrison Jr.</t>
  </si>
  <si>
    <t>DeVonta Smith</t>
  </si>
  <si>
    <t>Darnell Mooney</t>
  </si>
  <si>
    <t>DK Metcalf</t>
  </si>
  <si>
    <t>Xavier Worthy</t>
  </si>
  <si>
    <t>Rashod Bateman</t>
  </si>
  <si>
    <t>Keenan Allen</t>
  </si>
  <si>
    <t>Josh Downs</t>
  </si>
  <si>
    <t>Quentin Johnston</t>
  </si>
  <si>
    <t>Khalil Shakir</t>
  </si>
  <si>
    <t>Alec Pierce</t>
  </si>
  <si>
    <t>Cooper Kupp</t>
  </si>
  <si>
    <t>Wan'Dale Robinson</t>
  </si>
  <si>
    <t>George Pickens</t>
  </si>
  <si>
    <t>Michael Pittman Jr.</t>
  </si>
  <si>
    <t>Deebo Samuel Sr.</t>
  </si>
  <si>
    <t>Jalen Tolbert</t>
  </si>
  <si>
    <t>Jaylen Waddle</t>
  </si>
  <si>
    <t>Nick Westbrook-Ikhine</t>
  </si>
  <si>
    <t>DeAndre Hopkins</t>
  </si>
  <si>
    <t>Rome Odunze</t>
  </si>
  <si>
    <t>Jalen McMillan</t>
  </si>
  <si>
    <t>Adam Thielen</t>
  </si>
  <si>
    <t>DeMario Douglas</t>
  </si>
  <si>
    <t>Tank Dell</t>
  </si>
  <si>
    <t>Chris Godwin</t>
  </si>
  <si>
    <t>Marvin Mims Jr.</t>
  </si>
  <si>
    <t>Ray-Ray McCloud III</t>
  </si>
  <si>
    <t>Romeo Doubs</t>
  </si>
  <si>
    <t>Demarcus Robinson</t>
  </si>
  <si>
    <t>Allen Lazard</t>
  </si>
  <si>
    <t>Tre Tucker</t>
  </si>
  <si>
    <t>Andrei Iosivas</t>
  </si>
  <si>
    <t>Michael Wilson</t>
  </si>
  <si>
    <t>Calvin Austin III</t>
  </si>
  <si>
    <t>Amari Cooper</t>
  </si>
  <si>
    <t>Xavier Legette</t>
  </si>
  <si>
    <t>Kayshon Boutte</t>
  </si>
  <si>
    <t>Stefon Diggs</t>
  </si>
  <si>
    <t>Keon Coleman</t>
  </si>
  <si>
    <t>Tyler Lockett</t>
  </si>
  <si>
    <t>Dontayvion Wicks</t>
  </si>
  <si>
    <t>Christian Watson</t>
  </si>
  <si>
    <t>Darius Slayton</t>
  </si>
  <si>
    <t>Elijah Moore</t>
  </si>
  <si>
    <t>Olamide Zaccheaus</t>
  </si>
  <si>
    <t>Jalen Nailor</t>
  </si>
  <si>
    <t>KaVontae Turpin</t>
  </si>
  <si>
    <t>Joshua Palmer</t>
  </si>
  <si>
    <t>Devaughn Vele</t>
  </si>
  <si>
    <t>Mack Hollins</t>
  </si>
  <si>
    <t>Parker Washington</t>
  </si>
  <si>
    <t>Ricky Pearsall</t>
  </si>
  <si>
    <t>Tutu Atwell</t>
  </si>
  <si>
    <t>Jalen Coker</t>
  </si>
  <si>
    <t>Tim Patrick</t>
  </si>
  <si>
    <t>Marquez Valdes-Scantling</t>
  </si>
  <si>
    <t>Diontae Johnson</t>
  </si>
  <si>
    <t>Greg Dortch</t>
  </si>
  <si>
    <t>Rashid Shaheed</t>
  </si>
  <si>
    <t>David Moore</t>
  </si>
  <si>
    <t>Noah Brown</t>
  </si>
  <si>
    <t>Cedric Tillman</t>
  </si>
  <si>
    <t>Sterling Shepard</t>
  </si>
  <si>
    <t>Chris Olave</t>
  </si>
  <si>
    <t>Tyler Boyd</t>
  </si>
  <si>
    <t>Christian Kirk</t>
  </si>
  <si>
    <t>Brandin Cooks</t>
  </si>
  <si>
    <t>Troy Franklin</t>
  </si>
  <si>
    <t>Rashee Rice</t>
  </si>
  <si>
    <t>Dyami Brown</t>
  </si>
  <si>
    <t>Justin Watson</t>
  </si>
  <si>
    <t>Van Jefferson</t>
  </si>
  <si>
    <t>Kendrick Bourne</t>
  </si>
  <si>
    <t>Brandon Aiyuk</t>
  </si>
  <si>
    <t>Lil'Jordan Humphrey</t>
  </si>
  <si>
    <t>Curtis Samuel</t>
  </si>
  <si>
    <t>Tyler Johnson</t>
  </si>
  <si>
    <t>Kalif Raymond</t>
  </si>
  <si>
    <t>Mike Williams</t>
  </si>
  <si>
    <t>JuJu Smith-Schuster</t>
  </si>
  <si>
    <t>Gabe Davis</t>
  </si>
  <si>
    <t>John Metchie III</t>
  </si>
  <si>
    <t>Adonai Mitchell</t>
  </si>
  <si>
    <t>Nelson Agholor</t>
  </si>
  <si>
    <t>Malik Washington</t>
  </si>
  <si>
    <t>Jordan Whittington</t>
  </si>
  <si>
    <t>Cedrick Wilson Jr.</t>
  </si>
  <si>
    <t>DJ Turner</t>
  </si>
  <si>
    <t>Derius Davis</t>
  </si>
  <si>
    <t>Jahan Dotson</t>
  </si>
  <si>
    <t>Josh Reynolds</t>
  </si>
  <si>
    <t>Tylan Wallace</t>
  </si>
  <si>
    <t>Ryan Miller</t>
  </si>
  <si>
    <t>Jalen Brooks</t>
  </si>
  <si>
    <t>Trey Palmer</t>
  </si>
  <si>
    <t>KhaDarel Hodge</t>
  </si>
  <si>
    <t>Robert Woods</t>
  </si>
  <si>
    <t>Mecole Hardman Jr.</t>
  </si>
  <si>
    <t>Malik Heath</t>
  </si>
  <si>
    <t>Ja'Lynn Polk</t>
  </si>
  <si>
    <t>Dante Pettis</t>
  </si>
  <si>
    <t>Luke McCaffrey</t>
  </si>
  <si>
    <t>Jonathan Mingo</t>
  </si>
  <si>
    <t>Jake Bobo</t>
  </si>
  <si>
    <t>Bub Means</t>
  </si>
  <si>
    <t>Jamison Crowder</t>
  </si>
  <si>
    <t>Kevin Austin Jr.</t>
  </si>
  <si>
    <t>Bo Melton</t>
  </si>
  <si>
    <t>Trent Sherfield Sr.</t>
  </si>
  <si>
    <t>Ashton Dulin</t>
  </si>
  <si>
    <t>Xavier Hutchinson</t>
  </si>
  <si>
    <t>Mason Tipton</t>
  </si>
  <si>
    <t>Rakim Jarrett</t>
  </si>
  <si>
    <t>K.J. Osborn</t>
  </si>
  <si>
    <t>Ainias Smith</t>
  </si>
  <si>
    <t>Devin Duvernay</t>
  </si>
  <si>
    <t>Simi Fehoko</t>
  </si>
  <si>
    <t>Marquise Brown</t>
  </si>
  <si>
    <t>Tyrell Shavers</t>
  </si>
  <si>
    <t>Ryan Flournoy</t>
  </si>
  <si>
    <t>Jermaine Burton</t>
  </si>
  <si>
    <t>Bryce Oliver</t>
  </si>
  <si>
    <t>Zay Jones</t>
  </si>
  <si>
    <t>Johnny Wilson</t>
  </si>
  <si>
    <t>Parris Campbell</t>
  </si>
  <si>
    <t>Tay Martin</t>
  </si>
  <si>
    <t>Xavier Gipson</t>
  </si>
  <si>
    <t>Jalen Reagor</t>
  </si>
  <si>
    <t>DJ Chark Jr.</t>
  </si>
  <si>
    <t>Chris Conley</t>
  </si>
  <si>
    <t>Brandon Powell</t>
  </si>
  <si>
    <t>Jalin Hyatt</t>
  </si>
  <si>
    <t>River Cracraft</t>
  </si>
  <si>
    <t>Michael Woods II</t>
  </si>
  <si>
    <t>Odell Beckham Jr.</t>
  </si>
  <si>
    <t>DeAndre Carter</t>
  </si>
  <si>
    <t>Ben Skowronek</t>
  </si>
  <si>
    <t>Scotty Miller</t>
  </si>
  <si>
    <t>Kristian Wilkerson</t>
  </si>
  <si>
    <t>Jacob Cowing</t>
  </si>
  <si>
    <t>Devontez Walker</t>
  </si>
  <si>
    <t>Laviska Shenault Jr.</t>
  </si>
  <si>
    <t>Britain Covey</t>
  </si>
  <si>
    <t>Tyquan Thornton</t>
  </si>
  <si>
    <t>Ihmir Smith-Marsette</t>
  </si>
  <si>
    <t>Dee Eskridge</t>
  </si>
  <si>
    <t>Nikko Remigio</t>
  </si>
  <si>
    <t>Terrace Marshall Jr.</t>
  </si>
  <si>
    <t>Tim Jones</t>
  </si>
  <si>
    <t>Treylon Burks</t>
  </si>
  <si>
    <t>Cody White</t>
  </si>
  <si>
    <t>Dan Chisena</t>
  </si>
  <si>
    <t>Xavier Smith</t>
  </si>
  <si>
    <t>Charlie Jones</t>
  </si>
  <si>
    <t>Deven Thompkins</t>
  </si>
  <si>
    <t>Alex Bachman</t>
  </si>
  <si>
    <t>Allen Robinson II</t>
  </si>
  <si>
    <t>David Bell</t>
  </si>
  <si>
    <t>Malachi Corley</t>
  </si>
  <si>
    <t>Jamari Thrash</t>
  </si>
  <si>
    <t>Ronnie Bell</t>
  </si>
  <si>
    <t>Trenton Irwin</t>
  </si>
  <si>
    <t>Austin Trammell</t>
  </si>
  <si>
    <t>Anthony Gould</t>
  </si>
  <si>
    <t>Mason Kinsey</t>
  </si>
  <si>
    <t>Chris Blair</t>
  </si>
  <si>
    <t>Isaiah Hodgins</t>
  </si>
  <si>
    <t>Grant DuBose</t>
  </si>
  <si>
    <t>Anthony Miller</t>
  </si>
  <si>
    <t>Casey Washington</t>
  </si>
  <si>
    <t>Javon Baker</t>
  </si>
  <si>
    <t>Isaiah Williams</t>
  </si>
  <si>
    <t>Trent Taylor</t>
  </si>
  <si>
    <t>James Proche II</t>
  </si>
  <si>
    <t>Brandon Johnson</t>
  </si>
  <si>
    <t>Kendric Pryor</t>
  </si>
  <si>
    <t>Ramel Keyton</t>
  </si>
  <si>
    <t>Jaelon Darden</t>
  </si>
  <si>
    <t>John Ross</t>
  </si>
  <si>
    <t>Kameron Johnson</t>
  </si>
  <si>
    <t>Collin Johnson</t>
  </si>
  <si>
    <t>Tyler Scott</t>
  </si>
  <si>
    <t>Robbie Chosen</t>
  </si>
  <si>
    <t>Velus Jones Jr.</t>
  </si>
  <si>
    <t>Brycen Tremayne</t>
  </si>
  <si>
    <t>Maurice Alexander</t>
  </si>
  <si>
    <t>Justyn Ross</t>
  </si>
  <si>
    <t>Jalen Cropper</t>
  </si>
  <si>
    <t>Montrell Washington</t>
  </si>
  <si>
    <t>Zach Pascal</t>
  </si>
  <si>
    <t>Laquon Treadwell</t>
  </si>
  <si>
    <t>Joshua Cephus</t>
  </si>
  <si>
    <t>Kazmeir Allen</t>
  </si>
  <si>
    <t>Justin Hardee Sr.</t>
  </si>
  <si>
    <t>Brandon Smith</t>
  </si>
  <si>
    <t>Alex Erickson</t>
  </si>
  <si>
    <t>Seth Williams</t>
  </si>
  <si>
    <t>Kaden Davis</t>
  </si>
  <si>
    <t>Jared Wayne</t>
  </si>
  <si>
    <t>KJ Hamler</t>
  </si>
  <si>
    <t>Jalen Virgil</t>
  </si>
  <si>
    <t>Jaylen Johnson</t>
  </si>
  <si>
    <t>Dareke Young</t>
  </si>
  <si>
    <t>Chris Moore</t>
  </si>
  <si>
    <t>Braxton Berrios</t>
  </si>
  <si>
    <t>Quinton Bell</t>
  </si>
  <si>
    <t>Tom Kennedy</t>
  </si>
  <si>
    <t>Deonte Harty</t>
  </si>
  <si>
    <t>Skyy Moore</t>
  </si>
  <si>
    <t>Bobby Brown</t>
  </si>
  <si>
    <t>Jalen Guyton</t>
  </si>
  <si>
    <t>Irvin Charles</t>
  </si>
  <si>
    <t>Bryce Ford-Wheaton</t>
  </si>
  <si>
    <t>Marquez Callaway</t>
  </si>
  <si>
    <t>Erik Ezukanma</t>
  </si>
  <si>
    <t>Trishton Jackson</t>
  </si>
  <si>
    <t>Cody Thompson</t>
  </si>
  <si>
    <t>Xavier Weaver</t>
  </si>
  <si>
    <t>Equanimeous St. Brown</t>
  </si>
  <si>
    <t>Elijah Cooks</t>
  </si>
  <si>
    <t>Roman Wilson</t>
  </si>
  <si>
    <t>Justin Shorter</t>
  </si>
  <si>
    <t>Brenden Rice</t>
  </si>
  <si>
    <t>Dez Fitzpatrick</t>
  </si>
  <si>
    <t>Jermaine Jackson</t>
  </si>
  <si>
    <t>Steven Sims Jr.</t>
  </si>
  <si>
    <t>Kadarius Toney</t>
  </si>
  <si>
    <t>Jha'Quan Jackson</t>
  </si>
  <si>
    <t>Dee Williams</t>
  </si>
  <si>
    <t>Lamar Jackson</t>
  </si>
  <si>
    <t>Josh Allen</t>
  </si>
  <si>
    <t>Joe Burrow</t>
  </si>
  <si>
    <t>Baker Mayfield</t>
  </si>
  <si>
    <t>Jayden Daniels</t>
  </si>
  <si>
    <t>Jared Goff</t>
  </si>
  <si>
    <t>Bo Nix</t>
  </si>
  <si>
    <t>Jalen Hurts</t>
  </si>
  <si>
    <t>Sam Darnold</t>
  </si>
  <si>
    <t>Kyler Murray</t>
  </si>
  <si>
    <t>Patrick Mahomes II</t>
  </si>
  <si>
    <t>Justin Herbert</t>
  </si>
  <si>
    <t>Geno Smith</t>
  </si>
  <si>
    <t>Brock Purdy</t>
  </si>
  <si>
    <t>Aaron Rodgers</t>
  </si>
  <si>
    <t>Caleb Williams</t>
  </si>
  <si>
    <t>Jordan Love</t>
  </si>
  <si>
    <t>C.J. Stroud</t>
  </si>
  <si>
    <t>Matthew Stafford</t>
  </si>
  <si>
    <t>Bryce Young</t>
  </si>
  <si>
    <t>Kirk Cousins</t>
  </si>
  <si>
    <t>Tua Tagovailoa</t>
  </si>
  <si>
    <t>Drake Maye</t>
  </si>
  <si>
    <t>Russell Wilson</t>
  </si>
  <si>
    <t>Anthony Richardson Sr.</t>
  </si>
  <si>
    <t>Derek Carr</t>
  </si>
  <si>
    <t>Trevor Lawrence</t>
  </si>
  <si>
    <t>Jameis Winston</t>
  </si>
  <si>
    <t>Daniel Jones</t>
  </si>
  <si>
    <t>Will Levis</t>
  </si>
  <si>
    <t>Dak Prescott</t>
  </si>
  <si>
    <t>Justin Fields</t>
  </si>
  <si>
    <t>Cooper Rush</t>
  </si>
  <si>
    <t>Gardner Minshew II</t>
  </si>
  <si>
    <t>Joe Flacco</t>
  </si>
  <si>
    <t>Mason Rudolph</t>
  </si>
  <si>
    <t>Mac Jones</t>
  </si>
  <si>
    <t>Aidan O'Connell</t>
  </si>
  <si>
    <t>Drew Lock</t>
  </si>
  <si>
    <t>Deshaun Watson</t>
  </si>
  <si>
    <t>Spencer Rattler</t>
  </si>
  <si>
    <t>Andy Dalton</t>
  </si>
  <si>
    <t>Tyler Huntley</t>
  </si>
  <si>
    <t>Malik Willis</t>
  </si>
  <si>
    <t>Michael Penix Jr.</t>
  </si>
  <si>
    <t>Jacoby Brissett</t>
  </si>
  <si>
    <t>Marcus Mariota</t>
  </si>
  <si>
    <t>Joshua Dobbs</t>
  </si>
  <si>
    <t>Tanner McKee</t>
  </si>
  <si>
    <t>Kenny Pickett</t>
  </si>
  <si>
    <t>Desmond Ridder</t>
  </si>
  <si>
    <t>Dorian Thompson-Robinson</t>
  </si>
  <si>
    <t>Jimmy Garoppolo</t>
  </si>
  <si>
    <t>Tyrod Taylor</t>
  </si>
  <si>
    <t>Joe Milton III</t>
  </si>
  <si>
    <t>Mitchell Trubisky</t>
  </si>
  <si>
    <t>Tim Boyle</t>
  </si>
  <si>
    <t>Jake Haener</t>
  </si>
  <si>
    <t>Trey Lance</t>
  </si>
  <si>
    <t>Tommy DeVito</t>
  </si>
  <si>
    <t>Davis Mills</t>
  </si>
  <si>
    <t>Bailey Zappe</t>
  </si>
  <si>
    <t>Brandon Allen</t>
  </si>
  <si>
    <t>Skylar Thompson</t>
  </si>
  <si>
    <t>Carson Wentz</t>
  </si>
  <si>
    <t>Taylor Heinicke</t>
  </si>
  <si>
    <t>Hendon Hooker</t>
  </si>
  <si>
    <t>Nick Mullens</t>
  </si>
  <si>
    <t>Feleipe Franks</t>
  </si>
  <si>
    <t>Mike White</t>
  </si>
  <si>
    <t>Josh Johnson</t>
  </si>
  <si>
    <t>Kyle Allen</t>
  </si>
  <si>
    <t>Chris Oladokun</t>
  </si>
  <si>
    <t>Jarrett Stidham</t>
  </si>
  <si>
    <t>Sam Howell</t>
  </si>
  <si>
    <t>Emory Jones</t>
  </si>
  <si>
    <t>C.J. Beathard</t>
  </si>
  <si>
    <t>Jake Luton</t>
  </si>
  <si>
    <t>Austin Reed</t>
  </si>
  <si>
    <t>Trevor Siemian</t>
  </si>
  <si>
    <t>Jordan Travis</t>
  </si>
  <si>
    <t>Jaren Hall</t>
  </si>
  <si>
    <t>Sam Hartman</t>
  </si>
  <si>
    <t>Jeff Driskel</t>
  </si>
  <si>
    <t>Jake Browning</t>
  </si>
  <si>
    <t>Kyle Trask</t>
  </si>
  <si>
    <t>Tyson Bagent</t>
  </si>
  <si>
    <t>Clayton Tune</t>
  </si>
  <si>
    <t>MDN</t>
  </si>
  <si>
    <t>A.J. Dillon</t>
  </si>
  <si>
    <t>Khalil Herbert</t>
  </si>
  <si>
    <t>Ty Chandler</t>
  </si>
  <si>
    <t>D'Onta Foreman</t>
  </si>
  <si>
    <t>Latavius Murray</t>
  </si>
  <si>
    <t>Jerick McKinnon</t>
  </si>
  <si>
    <t>Zamir White</t>
  </si>
  <si>
    <t>Keaton Mitchell</t>
  </si>
  <si>
    <t>Clyde Edwards-Helaire</t>
  </si>
  <si>
    <t>Joshua Kelley</t>
  </si>
  <si>
    <t>Jamaal Williams</t>
  </si>
  <si>
    <t>Michael Carter</t>
  </si>
  <si>
    <t>Royce Freeman</t>
  </si>
  <si>
    <t>Elijah Mitchell</t>
  </si>
  <si>
    <t>Pierre Strong Jr.</t>
  </si>
  <si>
    <t>Darrell Henderson Jr.</t>
  </si>
  <si>
    <t>Matt Breida</t>
  </si>
  <si>
    <t>Kendre Miller</t>
  </si>
  <si>
    <t>Chris Rodriguez Jr.</t>
  </si>
  <si>
    <t>Salvon Ahmed</t>
  </si>
  <si>
    <t>Jeff Wilson Jr.</t>
  </si>
  <si>
    <t>Dalvin Cook</t>
  </si>
  <si>
    <t>Chase Edmonds</t>
  </si>
  <si>
    <t>Cordarrelle Patterson</t>
  </si>
  <si>
    <t>D'Ernest Johnson</t>
  </si>
  <si>
    <t>Tony Jones Jr.</t>
  </si>
  <si>
    <t>Craig Reynolds</t>
  </si>
  <si>
    <t>Darrynton Evans</t>
  </si>
  <si>
    <t>Patrick Taylor Jr.</t>
  </si>
  <si>
    <t>Kevin Harris</t>
  </si>
  <si>
    <t>Alec Ingold</t>
  </si>
  <si>
    <t>Melvin Gordon III</t>
  </si>
  <si>
    <t>Damien Harris</t>
  </si>
  <si>
    <t>Ronnie Rivers</t>
  </si>
  <si>
    <t>Isaiah Spiller</t>
  </si>
  <si>
    <t>Tyler Goodson</t>
  </si>
  <si>
    <t>Raheem Blackshear</t>
  </si>
  <si>
    <t>Boston Scott</t>
  </si>
  <si>
    <t>Patrick Ricard</t>
  </si>
  <si>
    <t>Israel Abanikanda</t>
  </si>
  <si>
    <t>La'Mical Perine</t>
  </si>
  <si>
    <t>Keaontay Ingram</t>
  </si>
  <si>
    <t>Deuce Vaughn</t>
  </si>
  <si>
    <t>Trayveon Williams</t>
  </si>
  <si>
    <t>Hunter Luepke</t>
  </si>
  <si>
    <t>Brandon Bolden</t>
  </si>
  <si>
    <t>Chris Brooks</t>
  </si>
  <si>
    <t>Nick Bawden</t>
  </si>
  <si>
    <t>Eric Gray</t>
  </si>
  <si>
    <t>Mike Boone</t>
  </si>
  <si>
    <t>Gary Brightwell</t>
  </si>
  <si>
    <t>Ty Montgomery II</t>
  </si>
  <si>
    <t>C.J. Ham</t>
  </si>
  <si>
    <t>Damien Williams</t>
  </si>
  <si>
    <t>Ke'Shawn Vaughn</t>
  </si>
  <si>
    <t>Michael Burton</t>
  </si>
  <si>
    <t>DeeJay Dallas</t>
  </si>
  <si>
    <t>Keith Smith</t>
  </si>
  <si>
    <t>Rashaad Penny</t>
  </si>
  <si>
    <t>Khari Blasingame</t>
  </si>
  <si>
    <t>Leonard Fournette</t>
  </si>
  <si>
    <t>Elijah Dotson</t>
  </si>
  <si>
    <t>Alex Armah Jr.</t>
  </si>
  <si>
    <t>Jashaun Corbin</t>
  </si>
  <si>
    <t>Jake Funk</t>
  </si>
  <si>
    <t>Zonovan Knight</t>
  </si>
  <si>
    <t>Derrick Gore</t>
  </si>
  <si>
    <t>Kenyan Drake</t>
  </si>
  <si>
    <t>Tyrion Davis-Price</t>
  </si>
  <si>
    <t>Anthony McFarland Jr.</t>
  </si>
  <si>
    <t>Zach Evans</t>
  </si>
  <si>
    <t>Devine Ozigbo</t>
  </si>
  <si>
    <t>Jakob Johnson</t>
  </si>
  <si>
    <t>Chris Evans</t>
  </si>
  <si>
    <t>Deon Jackson</t>
  </si>
  <si>
    <t>Adam Prentice</t>
  </si>
  <si>
    <t>Kene Nwangwu</t>
  </si>
  <si>
    <t>Evan Hull</t>
  </si>
  <si>
    <t>Jonathan Ward</t>
  </si>
  <si>
    <t>Reggie Gilliam</t>
  </si>
  <si>
    <t>James Robinson</t>
  </si>
  <si>
    <t>Brittain Brown</t>
  </si>
  <si>
    <t>Henry Pearson</t>
  </si>
  <si>
    <t>SaRodorick Thompson Jr.</t>
  </si>
  <si>
    <t>Austin Walter</t>
  </si>
  <si>
    <t>Mohamed Ibrahim</t>
  </si>
  <si>
    <t>Dwayne Washington</t>
  </si>
  <si>
    <t>Godwin Igwebuike</t>
  </si>
  <si>
    <t>Malik Davis</t>
  </si>
  <si>
    <t>Patrick Laird</t>
  </si>
  <si>
    <t>Julius Chestnut</t>
  </si>
  <si>
    <t>Corey Clement</t>
  </si>
  <si>
    <t>Jordan Mims</t>
  </si>
  <si>
    <t>Marlon Mack</t>
  </si>
  <si>
    <t>Travis Homer</t>
  </si>
  <si>
    <t>Bryant Koback</t>
  </si>
  <si>
    <t>JaMycal Hasty</t>
  </si>
  <si>
    <t>Ben Mason</t>
  </si>
  <si>
    <t>Jonathan Williams</t>
  </si>
  <si>
    <t>Rondale Moore</t>
  </si>
  <si>
    <t>Michael Gallup</t>
  </si>
  <si>
    <t>Michael Thomas</t>
  </si>
  <si>
    <t>DeVante Parker</t>
  </si>
  <si>
    <t>A.T. Perry</t>
  </si>
  <si>
    <t>Hunter Renfrow</t>
  </si>
  <si>
    <t>Jamal Agnew</t>
  </si>
  <si>
    <t>Julio Jones</t>
  </si>
  <si>
    <t>Quez Watkins</t>
  </si>
  <si>
    <t>Kyle Philips</t>
  </si>
  <si>
    <t>Donovan Peoples-Jones</t>
  </si>
  <si>
    <t>Byron Pringle</t>
  </si>
  <si>
    <t>Chase Claypool</t>
  </si>
  <si>
    <t>Lynn Bowden Jr.</t>
  </si>
  <si>
    <t>Randall Cobb</t>
  </si>
  <si>
    <t>Richie James Jr.</t>
  </si>
  <si>
    <t>Jason Brownlee</t>
  </si>
  <si>
    <t>D.J. Montgomery</t>
  </si>
  <si>
    <t>Keith Kirkwood</t>
  </si>
  <si>
    <t>Marquise Goodwin</t>
  </si>
  <si>
    <t>Samori Toure</t>
  </si>
  <si>
    <t>Lawrence Cager</t>
  </si>
  <si>
    <t>Isaiah McKenzie</t>
  </si>
  <si>
    <t>Keelan Doss</t>
  </si>
  <si>
    <t>Michael Strachan</t>
  </si>
  <si>
    <t>Marvin Jones Jr.</t>
  </si>
  <si>
    <t>Miles Boykin</t>
  </si>
  <si>
    <t>Gunner Olszewski</t>
  </si>
  <si>
    <t>Willie Snead IV</t>
  </si>
  <si>
    <t>Malik Taylor</t>
  </si>
  <si>
    <t>Colton Dowell</t>
  </si>
  <si>
    <t>Kwamie Lassiter II</t>
  </si>
  <si>
    <t>Antoine Green</t>
  </si>
  <si>
    <t>Damiere Byrd</t>
  </si>
  <si>
    <t>Andre Baccellia</t>
  </si>
  <si>
    <t>Johnny Johnson III</t>
  </si>
  <si>
    <t>Stanley Morgan Jr.</t>
  </si>
  <si>
    <t>Michael Bandy</t>
  </si>
  <si>
    <t>Shedrick Jackson</t>
  </si>
  <si>
    <t>Dax Milne</t>
  </si>
  <si>
    <t>Chase Cota</t>
  </si>
  <si>
    <t>Dylan Drummond</t>
  </si>
  <si>
    <t>Lucky Jackson</t>
  </si>
  <si>
    <t>Kearis Jackson</t>
  </si>
  <si>
    <t>Ethan Fernea</t>
  </si>
  <si>
    <t>David Sills</t>
  </si>
  <si>
    <t>Terrell Bynum</t>
  </si>
  <si>
    <t>Juwann Winfree</t>
  </si>
  <si>
    <t>Tre'Quan Smith</t>
  </si>
  <si>
    <t>Easop Winston Jr.</t>
  </si>
  <si>
    <t>Cephus Johnson III</t>
  </si>
  <si>
    <t>Kirk Merritt</t>
  </si>
  <si>
    <t>Andy Isabella</t>
  </si>
  <si>
    <t>Devon Allen</t>
  </si>
  <si>
    <t>Matthew Slater</t>
  </si>
  <si>
    <t>Isaiah Winstead</t>
  </si>
  <si>
    <t>N'Keal Harry</t>
  </si>
  <si>
    <t>Amari Rodgers</t>
  </si>
  <si>
    <t>Phillip Dorsett II</t>
  </si>
  <si>
    <t>Zach Wilson</t>
  </si>
  <si>
    <t>Ryan Tannehill</t>
  </si>
  <si>
    <t>Easton Stick</t>
  </si>
  <si>
    <t>P.J. Walker</t>
  </si>
  <si>
    <t>Case Keenum</t>
  </si>
  <si>
    <t>Blaine Gabbert</t>
  </si>
  <si>
    <t>Brian Hoyer</t>
  </si>
  <si>
    <t>Brett Rypien</t>
  </si>
  <si>
    <t>Sean Clifford</t>
  </si>
  <si>
    <t>AJ McCarron</t>
  </si>
  <si>
    <t>Logan Woodside</t>
  </si>
  <si>
    <t>Jacob Eason</t>
  </si>
  <si>
    <t>Max Duggan</t>
  </si>
  <si>
    <t>Malik Cunningham</t>
  </si>
  <si>
    <t>Sam Ehlinger</t>
  </si>
  <si>
    <t>Teddy Bridgewater</t>
  </si>
  <si>
    <t>Matt Barkley</t>
  </si>
  <si>
    <t>Nathan Peterman</t>
  </si>
  <si>
    <t>Blake Corum</t>
  </si>
  <si>
    <t>Hassan Haskins</t>
  </si>
  <si>
    <t>Kimani Vidal</t>
  </si>
  <si>
    <t>Sincere McCormick</t>
  </si>
  <si>
    <t>Jaylen Wright</t>
  </si>
  <si>
    <t>Carson Steele</t>
  </si>
  <si>
    <t>Kenny McIntosh</t>
  </si>
  <si>
    <t>Will Shipley</t>
  </si>
  <si>
    <t>Tyler Badie</t>
  </si>
  <si>
    <t>Sione Vaki</t>
  </si>
  <si>
    <t>Jonathon Brooks</t>
  </si>
  <si>
    <t>J.J. Taylor</t>
  </si>
  <si>
    <t>Jacob Kibodi</t>
  </si>
  <si>
    <t>Jermar Jefferson</t>
  </si>
  <si>
    <t>Blake Watson</t>
  </si>
  <si>
    <t>Terrell Jennings</t>
  </si>
  <si>
    <t>Jase McClellan</t>
  </si>
  <si>
    <t>Rasheen Ali</t>
  </si>
  <si>
    <t>MarShawn Lloyd</t>
  </si>
  <si>
    <t>Myles Gaskin</t>
  </si>
  <si>
    <t>George Holani</t>
  </si>
  <si>
    <t>Cody Schrader</t>
  </si>
  <si>
    <t>Chris Collier</t>
  </si>
  <si>
    <t>Aaron Shampklin</t>
  </si>
  <si>
    <t>Tyreik McAllister</t>
  </si>
  <si>
    <t>British Brooks</t>
  </si>
  <si>
    <t>Jabari Small</t>
  </si>
  <si>
    <t>Avery Williams</t>
  </si>
  <si>
    <t>Keilan Robinson</t>
  </si>
  <si>
    <t>Nyheim Miller-Hines</t>
  </si>
  <si>
    <t>John Kelly Jr.</t>
  </si>
  <si>
    <t>Kendall Milton</t>
  </si>
  <si>
    <t>Troy Hairston II</t>
  </si>
  <si>
    <t>Dante Miller</t>
  </si>
  <si>
    <t>D.J. Williams</t>
  </si>
  <si>
    <t>Dylan Laube</t>
  </si>
  <si>
    <t>Sam LaPorta</t>
  </si>
  <si>
    <t>Evan Engram</t>
  </si>
  <si>
    <t>Travis Kelce</t>
  </si>
  <si>
    <t>T.J. Hockenson</t>
  </si>
  <si>
    <t>George Kittle</t>
  </si>
  <si>
    <t>David Njoku</t>
  </si>
  <si>
    <t>Trey McBride</t>
  </si>
  <si>
    <t>Cole Kmet</t>
  </si>
  <si>
    <t>Jake Ferguson</t>
  </si>
  <si>
    <t>Dalton Schultz</t>
  </si>
  <si>
    <t>Dalton Kincaid</t>
  </si>
  <si>
    <t>Taysom Hill</t>
  </si>
  <si>
    <t>Kyle Pitts Sr.</t>
  </si>
  <si>
    <t>Dallas Goedert</t>
  </si>
  <si>
    <t>Mark Andrews</t>
  </si>
  <si>
    <t>Logan Thomas</t>
  </si>
  <si>
    <t>Jonnu Smith</t>
  </si>
  <si>
    <t>Tyler Conklin</t>
  </si>
  <si>
    <t>Hunter Henry</t>
  </si>
  <si>
    <t>Cade Otton</t>
  </si>
  <si>
    <t>Chig Okonkwo</t>
  </si>
  <si>
    <t>Darren Waller</t>
  </si>
  <si>
    <t>Gerald Everett</t>
  </si>
  <si>
    <t>Tyler Higbee</t>
  </si>
  <si>
    <t>Isaiah Likely</t>
  </si>
  <si>
    <t>Juwan Johnson</t>
  </si>
  <si>
    <t>Tanner Hudson</t>
  </si>
  <si>
    <t>Donald Parham Jr.</t>
  </si>
  <si>
    <t>Tucker Kraft</t>
  </si>
  <si>
    <t>Pat Freiermuth</t>
  </si>
  <si>
    <t>Luke Musgrave</t>
  </si>
  <si>
    <t>Noah Fant</t>
  </si>
  <si>
    <t>Kylen Granson</t>
  </si>
  <si>
    <t>Durham Smythe</t>
  </si>
  <si>
    <t>Michael Mayer</t>
  </si>
  <si>
    <t>Noah Gray</t>
  </si>
  <si>
    <t>Mike Gesicki</t>
  </si>
  <si>
    <t>Colby Parkinson</t>
  </si>
  <si>
    <t>Tommy Tremble</t>
  </si>
  <si>
    <t>Adam Trautman</t>
  </si>
  <si>
    <t>Dawson Knox</t>
  </si>
  <si>
    <t>Josh Oliver</t>
  </si>
  <si>
    <t>Zach Ertz</t>
  </si>
  <si>
    <t>Brevin Jordan</t>
  </si>
  <si>
    <t>Daniel Bellinger</t>
  </si>
  <si>
    <t>Drew Sample</t>
  </si>
  <si>
    <t>Mo Alie-Cox</t>
  </si>
  <si>
    <t>Austin Hooper</t>
  </si>
  <si>
    <t>Foster Moreau</t>
  </si>
  <si>
    <t>Hayden Hurst</t>
  </si>
  <si>
    <t>Will Dissly</t>
  </si>
  <si>
    <t>Johnny Mundt</t>
  </si>
  <si>
    <t>Connor Heyward</t>
  </si>
  <si>
    <t>Andrew Beck</t>
  </si>
  <si>
    <t>Will Mallory</t>
  </si>
  <si>
    <t>Harrison Bryant</t>
  </si>
  <si>
    <t>Pharaoh Brown</t>
  </si>
  <si>
    <t>Elijah Higgins</t>
  </si>
  <si>
    <t>Drew Ogletree</t>
  </si>
  <si>
    <t>John Bates</t>
  </si>
  <si>
    <t>Jimmy Graham</t>
  </si>
  <si>
    <t>Irv Smith Jr.</t>
  </si>
  <si>
    <t>Stone Smartt</t>
  </si>
  <si>
    <t>Jeremy Ruckert</t>
  </si>
  <si>
    <t>Luke Farrell</t>
  </si>
  <si>
    <t>Jordan Akins</t>
  </si>
  <si>
    <t>Brock Wright</t>
  </si>
  <si>
    <t>Luke Schoonmaker</t>
  </si>
  <si>
    <t>MyCole Pruitt</t>
  </si>
  <si>
    <t>Davis Allen</t>
  </si>
  <si>
    <t>Stephen Sullivan</t>
  </si>
  <si>
    <t>Josh Whyle</t>
  </si>
  <si>
    <t>Lucas Krull</t>
  </si>
  <si>
    <t>Cole Turner</t>
  </si>
  <si>
    <t>Robert Tonyan</t>
  </si>
  <si>
    <t>Charlie Kolar</t>
  </si>
  <si>
    <t>C.J. Uzomah</t>
  </si>
  <si>
    <t>Geoff Swaim</t>
  </si>
  <si>
    <t>Mitchell Wilcox</t>
  </si>
  <si>
    <t>Josiah Deguara</t>
  </si>
  <si>
    <t>Brenton Strange</t>
  </si>
  <si>
    <t>Darnell Washington</t>
  </si>
  <si>
    <t>Marcedes Lewis</t>
  </si>
  <si>
    <t>Brycen Hopkins</t>
  </si>
  <si>
    <t>Ben Sims</t>
  </si>
  <si>
    <t>Blake Bell</t>
  </si>
  <si>
    <t>Payne Durham</t>
  </si>
  <si>
    <t>Ian Thomas</t>
  </si>
  <si>
    <t>Quintin Morris</t>
  </si>
  <si>
    <t>Jack Stoll</t>
  </si>
  <si>
    <t>Julian Hill</t>
  </si>
  <si>
    <t>Grant Calcaterra</t>
  </si>
  <si>
    <t>Peyton Hendershot</t>
  </si>
  <si>
    <t>Ko Kieft</t>
  </si>
  <si>
    <t>Nate Adkins</t>
  </si>
  <si>
    <t>Charlie Woerner</t>
  </si>
  <si>
    <t>Greg Dulcich</t>
  </si>
  <si>
    <t>Teagan Quitoriano</t>
  </si>
  <si>
    <t>Kenny Yeboah</t>
  </si>
  <si>
    <t>James Mitchell</t>
  </si>
  <si>
    <t>Brock Bowers</t>
  </si>
  <si>
    <t>AJ Barner</t>
  </si>
  <si>
    <t>Ja'Tavion Sanders</t>
  </si>
  <si>
    <t>Theo Johnson</t>
  </si>
  <si>
    <t>Nick Vannett</t>
  </si>
  <si>
    <t>Erick All Jr.</t>
  </si>
  <si>
    <t>Cade Stover</t>
  </si>
  <si>
    <t>Eric Saubert</t>
  </si>
  <si>
    <t>Brevyn Spann-Ford</t>
  </si>
  <si>
    <t>Blake Whiteheart</t>
  </si>
  <si>
    <t>Ben Sinnott</t>
  </si>
  <si>
    <t>Devin Culp</t>
  </si>
  <si>
    <t>Hunter Long</t>
  </si>
  <si>
    <t>Chris Manhertz</t>
  </si>
  <si>
    <t>Tucker Fisk</t>
  </si>
  <si>
    <t>Tip Reiman</t>
  </si>
  <si>
    <t>Cam Grandy</t>
  </si>
  <si>
    <t>E.J. Jenkins</t>
  </si>
  <si>
    <t>Dallin Holker</t>
  </si>
  <si>
    <t>Tanner Conner</t>
  </si>
  <si>
    <t>Jaheim Bell</t>
  </si>
  <si>
    <t>Shane Zylstra</t>
  </si>
  <si>
    <t>Eric Tomlinson</t>
  </si>
  <si>
    <t>John Samuel Shenker</t>
  </si>
  <si>
    <t>Jared Wiley</t>
  </si>
  <si>
    <t>David Martin-Robinson</t>
  </si>
  <si>
    <t>Zach Davidson</t>
  </si>
  <si>
    <t>Ross Dwelley</t>
  </si>
  <si>
    <t>Jody Fortson Jr.</t>
  </si>
  <si>
    <t>John FitzPatrick</t>
  </si>
  <si>
    <t>Parker Hesse</t>
  </si>
  <si>
    <t>Princeton Fant</t>
  </si>
  <si>
    <t>Jack Westover</t>
  </si>
  <si>
    <t>Baylor Cupp</t>
  </si>
  <si>
    <t>Zack Kuntz</t>
  </si>
  <si>
    <t>Thomas Odukoya</t>
  </si>
  <si>
    <t>Tanner McLachlan</t>
  </si>
  <si>
    <t>Brenden Bates</t>
  </si>
  <si>
    <t>Jordan Matthews</t>
  </si>
  <si>
    <t>Nick Muse</t>
  </si>
  <si>
    <t>Tyler Mabry</t>
  </si>
  <si>
    <t>Travis Vokolek</t>
  </si>
  <si>
    <t>James Winchester</t>
  </si>
  <si>
    <t>Brayden Willis</t>
  </si>
  <si>
    <t>Colson Yankoff</t>
  </si>
  <si>
    <t>Anthony Firkser</t>
  </si>
  <si>
    <t>Rodney Williams</t>
  </si>
  <si>
    <t>Brady Russell</t>
  </si>
  <si>
    <t>Jake Tonges</t>
  </si>
  <si>
    <t>Leroy Watson IV</t>
  </si>
  <si>
    <t>15+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</si>
</sst>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/>
        <i val="0"/>
      </font>
      <fill>
        <patternFill>
          <fgColor auto="1"/>
          <bgColor theme="9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fgColor auto="1"/>
          <bgColor theme="9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fgColor auto="1"/>
          <bgColor theme="9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fgColor auto="1"/>
          <bgColor theme="9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fgColor auto="1"/>
          <bgColor theme="9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fgColor auto="1"/>
          <bgColor theme="9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fgColor auto="1"/>
          <bgColor theme="9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fgColor auto="1"/>
          <bgColor theme="9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4F6E-2437-4063-98FB-A24C93016E27}">
  <dimension ref="A1:AF259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F10" sqref="F10"/>
    </sheetView>
  </sheetViews>
  <sheetFormatPr defaultColWidth="9.140625" defaultRowHeight="15" x14ac:dyDescent="0.25"/>
  <cols>
    <col min="1" max="1" width="3" style="4" bestFit="1" customWidth="1"/>
    <col min="2" max="2" width="26.5703125" style="5" bestFit="1" customWidth="1"/>
    <col min="3" max="3" width="5.85546875" style="4" bestFit="1" customWidth="1"/>
    <col min="4" max="4" width="6" style="4" bestFit="1" customWidth="1"/>
    <col min="5" max="5" width="5" style="4" bestFit="1" customWidth="1"/>
    <col min="6" max="6" width="6" style="4" bestFit="1" customWidth="1"/>
    <col min="7" max="7" width="10.7109375" style="3" bestFit="1" customWidth="1"/>
    <col min="8" max="8" width="10.7109375" style="3" customWidth="1"/>
    <col min="9" max="10" width="10.7109375" style="3" bestFit="1" customWidth="1"/>
    <col min="11" max="11" width="13.85546875" style="3" bestFit="1" customWidth="1"/>
    <col min="12" max="29" width="5" style="4" bestFit="1" customWidth="1"/>
    <col min="30" max="31" width="9.140625" style="3"/>
    <col min="32" max="32" width="3" style="3" bestFit="1" customWidth="1"/>
    <col min="33" max="16384" width="9.140625" style="3"/>
  </cols>
  <sheetData>
    <row r="1" spans="1:29" s="2" customFormat="1" x14ac:dyDescent="0.25">
      <c r="A1" s="1" t="s">
        <v>0</v>
      </c>
      <c r="B1" s="1" t="s">
        <v>1</v>
      </c>
      <c r="C1" s="1" t="s">
        <v>2</v>
      </c>
      <c r="D1" s="1" t="s">
        <v>462</v>
      </c>
      <c r="E1" s="1" t="s">
        <v>3</v>
      </c>
      <c r="F1" s="1" t="s">
        <v>4</v>
      </c>
      <c r="G1" s="2" t="s">
        <v>113</v>
      </c>
      <c r="H1" s="2" t="s">
        <v>825</v>
      </c>
      <c r="I1" s="2" t="s">
        <v>114</v>
      </c>
      <c r="J1" s="2" t="s">
        <v>115</v>
      </c>
      <c r="K1" s="2" t="s">
        <v>112</v>
      </c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A1" s="1">
        <v>16</v>
      </c>
      <c r="AB1" s="1">
        <v>17</v>
      </c>
      <c r="AC1" s="1">
        <v>18</v>
      </c>
    </row>
    <row r="2" spans="1:29" x14ac:dyDescent="0.25">
      <c r="A2">
        <v>1</v>
      </c>
      <c r="B2" t="s">
        <v>374</v>
      </c>
      <c r="C2" t="s">
        <v>12</v>
      </c>
      <c r="D2" s="4">
        <f t="shared" ref="D2:D33" si="0">MEDIAN(L2:AC2)</f>
        <v>24.2</v>
      </c>
      <c r="E2">
        <v>25.6</v>
      </c>
      <c r="F2">
        <v>434.4</v>
      </c>
      <c r="G2" s="3">
        <f>COUNTIFS(L2:AC2,"&gt;=10",L2:AC2,"&lt;=99")</f>
        <v>17</v>
      </c>
      <c r="H2" s="6">
        <f>COUNTIFS(L2:AC2,"&gt;=15",L2:AC2,"&lt;=99")</f>
        <v>17</v>
      </c>
      <c r="I2" s="6">
        <f t="shared" ref="I2:I33" si="1">COUNTIFS(L2:AC2,"&gt;=20",L2:AC2,"&lt;=99")</f>
        <v>14</v>
      </c>
      <c r="J2" s="6">
        <f t="shared" ref="J2:J33" si="2">COUNTIFS(L2:AC2,"&gt;=30",L2:AC2,"&lt;=99")</f>
        <v>4</v>
      </c>
      <c r="K2" s="7">
        <f t="shared" ref="K2:K33" si="3">COUNT(L2:AC2)</f>
        <v>17</v>
      </c>
      <c r="L2">
        <v>25.1</v>
      </c>
      <c r="M2">
        <v>17.399999999999999</v>
      </c>
      <c r="N2">
        <v>26</v>
      </c>
      <c r="O2">
        <v>23.6</v>
      </c>
      <c r="P2">
        <v>33.4</v>
      </c>
      <c r="Q2">
        <v>19.899999999999999</v>
      </c>
      <c r="R2">
        <v>34.4</v>
      </c>
      <c r="S2">
        <v>24.2</v>
      </c>
      <c r="T2">
        <v>23.6</v>
      </c>
      <c r="U2">
        <v>32.9</v>
      </c>
      <c r="V2">
        <v>15.9</v>
      </c>
      <c r="W2">
        <v>22.6</v>
      </c>
      <c r="X2">
        <v>25.4</v>
      </c>
      <c r="Y2" t="s">
        <v>7</v>
      </c>
      <c r="Z2">
        <v>36.1</v>
      </c>
      <c r="AA2">
        <v>21.5</v>
      </c>
      <c r="AB2">
        <v>29.4</v>
      </c>
      <c r="AC2">
        <v>23</v>
      </c>
    </row>
    <row r="3" spans="1:29" x14ac:dyDescent="0.25">
      <c r="A3">
        <v>2</v>
      </c>
      <c r="B3" t="s">
        <v>375</v>
      </c>
      <c r="C3" t="s">
        <v>22</v>
      </c>
      <c r="D3" s="4">
        <f t="shared" si="0"/>
        <v>23</v>
      </c>
      <c r="E3">
        <v>22.6</v>
      </c>
      <c r="F3">
        <v>385</v>
      </c>
      <c r="G3" s="3">
        <f t="shared" ref="G3:G66" si="4">COUNTIFS(L3:AC3,"&gt;=10",L3:AC3,"&lt;=99")</f>
        <v>14</v>
      </c>
      <c r="H3" s="6">
        <f>COUNTIFS(L3:AC3,"&gt;=15",L3:AC3,"&lt;=99")</f>
        <v>12</v>
      </c>
      <c r="I3" s="6">
        <f t="shared" si="1"/>
        <v>12</v>
      </c>
      <c r="J3" s="6">
        <f t="shared" si="2"/>
        <v>4</v>
      </c>
      <c r="K3" s="7">
        <f t="shared" si="3"/>
        <v>17</v>
      </c>
      <c r="L3">
        <v>31.2</v>
      </c>
      <c r="M3">
        <v>9.8000000000000007</v>
      </c>
      <c r="N3">
        <v>30.9</v>
      </c>
      <c r="O3">
        <v>7.3</v>
      </c>
      <c r="P3">
        <v>14.6</v>
      </c>
      <c r="Q3">
        <v>24.4</v>
      </c>
      <c r="R3">
        <v>21</v>
      </c>
      <c r="S3">
        <v>20.8</v>
      </c>
      <c r="T3">
        <v>23.1</v>
      </c>
      <c r="U3">
        <v>20.2</v>
      </c>
      <c r="V3">
        <v>25</v>
      </c>
      <c r="W3" t="s">
        <v>7</v>
      </c>
      <c r="X3">
        <v>28.4</v>
      </c>
      <c r="Y3">
        <v>51.9</v>
      </c>
      <c r="Z3">
        <v>41.3</v>
      </c>
      <c r="AA3">
        <v>12.2</v>
      </c>
      <c r="AB3">
        <v>23</v>
      </c>
      <c r="AC3">
        <v>0</v>
      </c>
    </row>
    <row r="4" spans="1:29" x14ac:dyDescent="0.25">
      <c r="A4">
        <v>3</v>
      </c>
      <c r="B4" t="s">
        <v>376</v>
      </c>
      <c r="C4" t="s">
        <v>30</v>
      </c>
      <c r="D4" s="4">
        <f t="shared" si="0"/>
        <v>20.3</v>
      </c>
      <c r="E4">
        <v>22.5</v>
      </c>
      <c r="F4">
        <v>381.8</v>
      </c>
      <c r="G4" s="3">
        <f t="shared" si="4"/>
        <v>16</v>
      </c>
      <c r="H4" s="6">
        <f t="shared" ref="H4:H67" si="5">COUNTIFS(L4:AC4,"&gt;=15",L4:AC4,"&lt;=99")</f>
        <v>13</v>
      </c>
      <c r="I4" s="6">
        <f t="shared" si="1"/>
        <v>9</v>
      </c>
      <c r="J4" s="6">
        <f t="shared" si="2"/>
        <v>4</v>
      </c>
      <c r="K4" s="7">
        <f t="shared" si="3"/>
        <v>17</v>
      </c>
      <c r="L4">
        <v>8.1</v>
      </c>
      <c r="M4">
        <v>17.2</v>
      </c>
      <c r="N4">
        <v>25.4</v>
      </c>
      <c r="O4">
        <v>17.3</v>
      </c>
      <c r="P4">
        <v>34.799999999999997</v>
      </c>
      <c r="Q4">
        <v>19.8</v>
      </c>
      <c r="R4">
        <v>14.9</v>
      </c>
      <c r="S4">
        <v>13.9</v>
      </c>
      <c r="T4">
        <v>30.1</v>
      </c>
      <c r="U4">
        <v>33.700000000000003</v>
      </c>
      <c r="V4">
        <v>29</v>
      </c>
      <c r="W4" t="s">
        <v>7</v>
      </c>
      <c r="X4">
        <v>20.3</v>
      </c>
      <c r="Y4">
        <v>25.6</v>
      </c>
      <c r="Z4">
        <v>18.8</v>
      </c>
      <c r="AA4">
        <v>22</v>
      </c>
      <c r="AB4">
        <v>37</v>
      </c>
      <c r="AC4">
        <v>14</v>
      </c>
    </row>
    <row r="5" spans="1:29" x14ac:dyDescent="0.25">
      <c r="A5">
        <v>4</v>
      </c>
      <c r="B5" t="s">
        <v>377</v>
      </c>
      <c r="C5" t="s">
        <v>34</v>
      </c>
      <c r="D5" s="4">
        <f t="shared" si="0"/>
        <v>23.3</v>
      </c>
      <c r="E5">
        <v>22.5</v>
      </c>
      <c r="F5">
        <v>381.8</v>
      </c>
      <c r="G5" s="3">
        <f t="shared" si="4"/>
        <v>15</v>
      </c>
      <c r="H5" s="6">
        <f t="shared" si="5"/>
        <v>14</v>
      </c>
      <c r="I5" s="6">
        <f t="shared" si="1"/>
        <v>11</v>
      </c>
      <c r="J5" s="6">
        <f t="shared" si="2"/>
        <v>1</v>
      </c>
      <c r="K5" s="7">
        <f t="shared" si="3"/>
        <v>17</v>
      </c>
      <c r="L5">
        <v>29.7</v>
      </c>
      <c r="M5">
        <v>19.8</v>
      </c>
      <c r="N5">
        <v>9.5</v>
      </c>
      <c r="O5">
        <v>28.9</v>
      </c>
      <c r="P5">
        <v>23.4</v>
      </c>
      <c r="Q5">
        <v>28.9</v>
      </c>
      <c r="R5">
        <v>29</v>
      </c>
      <c r="S5">
        <v>24.3</v>
      </c>
      <c r="T5">
        <v>18</v>
      </c>
      <c r="U5">
        <v>8.9</v>
      </c>
      <c r="V5" t="s">
        <v>7</v>
      </c>
      <c r="W5">
        <v>18.7</v>
      </c>
      <c r="X5">
        <v>12.2</v>
      </c>
      <c r="Y5">
        <v>21</v>
      </c>
      <c r="Z5">
        <v>29</v>
      </c>
      <c r="AA5">
        <v>23.3</v>
      </c>
      <c r="AB5">
        <v>34.6</v>
      </c>
      <c r="AC5">
        <v>22.6</v>
      </c>
    </row>
    <row r="6" spans="1:29" x14ac:dyDescent="0.25">
      <c r="A6">
        <v>5</v>
      </c>
      <c r="B6" t="s">
        <v>378</v>
      </c>
      <c r="C6" t="s">
        <v>60</v>
      </c>
      <c r="D6" s="4">
        <f t="shared" si="0"/>
        <v>22.2</v>
      </c>
      <c r="E6">
        <v>21.5</v>
      </c>
      <c r="F6">
        <v>364.8</v>
      </c>
      <c r="G6" s="3">
        <f t="shared" si="4"/>
        <v>14</v>
      </c>
      <c r="H6" s="6">
        <f t="shared" si="5"/>
        <v>12</v>
      </c>
      <c r="I6" s="6">
        <f t="shared" si="1"/>
        <v>11</v>
      </c>
      <c r="J6" s="6">
        <f t="shared" si="2"/>
        <v>3</v>
      </c>
      <c r="K6" s="7">
        <f t="shared" si="3"/>
        <v>17</v>
      </c>
      <c r="L6">
        <v>28.2</v>
      </c>
      <c r="M6">
        <v>13.4</v>
      </c>
      <c r="N6">
        <v>28.1</v>
      </c>
      <c r="O6">
        <v>25</v>
      </c>
      <c r="P6">
        <v>20.7</v>
      </c>
      <c r="Q6">
        <v>21</v>
      </c>
      <c r="R6">
        <v>5.2</v>
      </c>
      <c r="S6">
        <v>22.2</v>
      </c>
      <c r="T6">
        <v>19.899999999999999</v>
      </c>
      <c r="U6">
        <v>8.6</v>
      </c>
      <c r="V6">
        <v>14.4</v>
      </c>
      <c r="W6">
        <v>32.4</v>
      </c>
      <c r="X6">
        <v>28.6</v>
      </c>
      <c r="Y6" t="s">
        <v>7</v>
      </c>
      <c r="Z6">
        <v>23.6</v>
      </c>
      <c r="AA6">
        <v>36.4</v>
      </c>
      <c r="AB6">
        <v>32.799999999999997</v>
      </c>
      <c r="AC6">
        <v>4.2</v>
      </c>
    </row>
    <row r="7" spans="1:29" x14ac:dyDescent="0.25">
      <c r="A7">
        <v>6</v>
      </c>
      <c r="B7" t="s">
        <v>379</v>
      </c>
      <c r="C7" t="s">
        <v>10</v>
      </c>
      <c r="D7" s="4">
        <f t="shared" si="0"/>
        <v>16.899999999999999</v>
      </c>
      <c r="E7">
        <v>19.7</v>
      </c>
      <c r="F7">
        <v>335.5</v>
      </c>
      <c r="G7" s="3">
        <f t="shared" si="4"/>
        <v>16</v>
      </c>
      <c r="H7" s="6">
        <f t="shared" si="5"/>
        <v>11</v>
      </c>
      <c r="I7" s="6">
        <f t="shared" si="1"/>
        <v>7</v>
      </c>
      <c r="J7" s="6">
        <f t="shared" si="2"/>
        <v>2</v>
      </c>
      <c r="K7" s="7">
        <f t="shared" si="3"/>
        <v>17</v>
      </c>
      <c r="L7">
        <v>12.4</v>
      </c>
      <c r="M7">
        <v>10.8</v>
      </c>
      <c r="N7">
        <v>15.6</v>
      </c>
      <c r="O7">
        <v>26.2</v>
      </c>
      <c r="P7" t="s">
        <v>7</v>
      </c>
      <c r="Q7">
        <v>25.1</v>
      </c>
      <c r="R7">
        <v>18.8</v>
      </c>
      <c r="S7">
        <v>15.5</v>
      </c>
      <c r="T7">
        <v>9.6</v>
      </c>
      <c r="U7">
        <v>12.8</v>
      </c>
      <c r="V7">
        <v>34.6</v>
      </c>
      <c r="W7">
        <v>10.8</v>
      </c>
      <c r="X7">
        <v>16.899999999999999</v>
      </c>
      <c r="Y7">
        <v>23</v>
      </c>
      <c r="Z7">
        <v>41.1</v>
      </c>
      <c r="AA7">
        <v>25.3</v>
      </c>
      <c r="AB7">
        <v>25.8</v>
      </c>
      <c r="AC7">
        <v>11.2</v>
      </c>
    </row>
    <row r="8" spans="1:29" x14ac:dyDescent="0.25">
      <c r="A8">
        <v>7</v>
      </c>
      <c r="B8" t="s">
        <v>380</v>
      </c>
      <c r="C8" t="s">
        <v>50</v>
      </c>
      <c r="D8" s="4">
        <f t="shared" si="0"/>
        <v>19.3</v>
      </c>
      <c r="E8">
        <v>19.3</v>
      </c>
      <c r="F8">
        <v>328.2</v>
      </c>
      <c r="G8" s="3">
        <f t="shared" si="4"/>
        <v>16</v>
      </c>
      <c r="H8" s="6">
        <f t="shared" si="5"/>
        <v>12</v>
      </c>
      <c r="I8" s="6">
        <f t="shared" si="1"/>
        <v>7</v>
      </c>
      <c r="J8" s="6">
        <f t="shared" si="2"/>
        <v>1</v>
      </c>
      <c r="K8" s="7">
        <f t="shared" si="3"/>
        <v>17</v>
      </c>
      <c r="L8">
        <v>13</v>
      </c>
      <c r="M8">
        <v>10.3</v>
      </c>
      <c r="N8">
        <v>19.3</v>
      </c>
      <c r="O8">
        <v>6.7</v>
      </c>
      <c r="P8">
        <v>23.1</v>
      </c>
      <c r="Q8">
        <v>21.7</v>
      </c>
      <c r="R8">
        <v>14.1</v>
      </c>
      <c r="S8">
        <v>29.8</v>
      </c>
      <c r="T8">
        <v>17.7</v>
      </c>
      <c r="U8">
        <v>16.100000000000001</v>
      </c>
      <c r="V8">
        <v>28.8</v>
      </c>
      <c r="W8">
        <v>19.399999999999999</v>
      </c>
      <c r="X8">
        <v>14.2</v>
      </c>
      <c r="Y8" t="s">
        <v>7</v>
      </c>
      <c r="Z8">
        <v>16.5</v>
      </c>
      <c r="AA8">
        <v>21</v>
      </c>
      <c r="AB8">
        <v>22.9</v>
      </c>
      <c r="AC8">
        <v>33.5</v>
      </c>
    </row>
    <row r="9" spans="1:29" x14ac:dyDescent="0.25">
      <c r="A9">
        <v>8</v>
      </c>
      <c r="B9" t="s">
        <v>381</v>
      </c>
      <c r="C9" t="s">
        <v>6</v>
      </c>
      <c r="D9" s="4">
        <f t="shared" si="0"/>
        <v>21.9</v>
      </c>
      <c r="E9">
        <v>21.3</v>
      </c>
      <c r="F9">
        <v>320.10000000000002</v>
      </c>
      <c r="G9" s="3">
        <f t="shared" si="4"/>
        <v>14</v>
      </c>
      <c r="H9" s="6">
        <f t="shared" si="5"/>
        <v>13</v>
      </c>
      <c r="I9" s="6">
        <f t="shared" si="1"/>
        <v>8</v>
      </c>
      <c r="J9" s="6">
        <f t="shared" si="2"/>
        <v>2</v>
      </c>
      <c r="K9" s="7">
        <f t="shared" si="3"/>
        <v>15</v>
      </c>
      <c r="L9">
        <v>18.399999999999999</v>
      </c>
      <c r="M9">
        <v>24.8</v>
      </c>
      <c r="N9">
        <v>11.9</v>
      </c>
      <c r="O9">
        <v>16.3</v>
      </c>
      <c r="P9" t="s">
        <v>7</v>
      </c>
      <c r="Q9">
        <v>21.9</v>
      </c>
      <c r="R9">
        <v>22.8</v>
      </c>
      <c r="S9">
        <v>35.1</v>
      </c>
      <c r="T9">
        <v>29.9</v>
      </c>
      <c r="U9">
        <v>30.7</v>
      </c>
      <c r="V9">
        <v>18.7</v>
      </c>
      <c r="W9">
        <v>15.1</v>
      </c>
      <c r="X9">
        <v>17.600000000000001</v>
      </c>
      <c r="Y9">
        <v>24.2</v>
      </c>
      <c r="Z9">
        <v>28.1</v>
      </c>
      <c r="AA9">
        <v>4.5</v>
      </c>
      <c r="AB9" t="s">
        <v>8</v>
      </c>
      <c r="AC9" t="s">
        <v>8</v>
      </c>
    </row>
    <row r="10" spans="1:29" x14ac:dyDescent="0.25">
      <c r="A10">
        <v>9</v>
      </c>
      <c r="B10" t="s">
        <v>382</v>
      </c>
      <c r="C10" t="s">
        <v>53</v>
      </c>
      <c r="D10" s="4">
        <f t="shared" si="0"/>
        <v>20.9</v>
      </c>
      <c r="E10">
        <v>18.8</v>
      </c>
      <c r="F10">
        <v>320</v>
      </c>
      <c r="G10" s="3">
        <f t="shared" si="4"/>
        <v>14</v>
      </c>
      <c r="H10" s="6">
        <f t="shared" si="5"/>
        <v>13</v>
      </c>
      <c r="I10" s="6">
        <f t="shared" si="1"/>
        <v>9</v>
      </c>
      <c r="J10" s="6">
        <f t="shared" si="2"/>
        <v>1</v>
      </c>
      <c r="K10" s="7">
        <f t="shared" si="3"/>
        <v>17</v>
      </c>
      <c r="L10">
        <v>15.6</v>
      </c>
      <c r="M10">
        <v>20.9</v>
      </c>
      <c r="N10">
        <v>23.2</v>
      </c>
      <c r="O10">
        <v>21.5</v>
      </c>
      <c r="P10">
        <v>5.3</v>
      </c>
      <c r="Q10" t="s">
        <v>8</v>
      </c>
      <c r="R10">
        <v>17.3</v>
      </c>
      <c r="S10">
        <v>18.2</v>
      </c>
      <c r="T10">
        <v>21</v>
      </c>
      <c r="U10">
        <v>9.4</v>
      </c>
      <c r="V10">
        <v>23.6</v>
      </c>
      <c r="W10">
        <v>21.1</v>
      </c>
      <c r="X10">
        <v>19.600000000000001</v>
      </c>
      <c r="Y10">
        <v>34.6</v>
      </c>
      <c r="Z10">
        <v>12.2</v>
      </c>
      <c r="AA10">
        <v>22.9</v>
      </c>
      <c r="AB10">
        <v>25.8</v>
      </c>
      <c r="AC10">
        <v>7.6</v>
      </c>
    </row>
    <row r="11" spans="1:29" x14ac:dyDescent="0.25">
      <c r="A11">
        <v>10</v>
      </c>
      <c r="B11" t="s">
        <v>383</v>
      </c>
      <c r="C11" t="s">
        <v>28</v>
      </c>
      <c r="D11" s="4">
        <f t="shared" si="0"/>
        <v>18</v>
      </c>
      <c r="E11">
        <v>18.100000000000001</v>
      </c>
      <c r="F11">
        <v>308.2</v>
      </c>
      <c r="G11" s="3">
        <f t="shared" si="4"/>
        <v>16</v>
      </c>
      <c r="H11" s="6">
        <f t="shared" si="5"/>
        <v>11</v>
      </c>
      <c r="I11" s="6">
        <f t="shared" si="1"/>
        <v>8</v>
      </c>
      <c r="J11" s="6">
        <f t="shared" si="2"/>
        <v>0</v>
      </c>
      <c r="K11" s="7">
        <f t="shared" si="3"/>
        <v>17</v>
      </c>
      <c r="L11">
        <v>14.2</v>
      </c>
      <c r="M11">
        <v>28.5</v>
      </c>
      <c r="N11">
        <v>15.8</v>
      </c>
      <c r="O11">
        <v>10</v>
      </c>
      <c r="P11">
        <v>25.1</v>
      </c>
      <c r="Q11">
        <v>12</v>
      </c>
      <c r="R11">
        <v>21.2</v>
      </c>
      <c r="S11">
        <v>22.2</v>
      </c>
      <c r="T11">
        <v>4.8</v>
      </c>
      <c r="U11">
        <v>28.7</v>
      </c>
      <c r="V11" t="s">
        <v>7</v>
      </c>
      <c r="W11">
        <v>11.3</v>
      </c>
      <c r="X11">
        <v>17.2</v>
      </c>
      <c r="Y11">
        <v>20</v>
      </c>
      <c r="Z11">
        <v>10.1</v>
      </c>
      <c r="AA11">
        <v>21.4</v>
      </c>
      <c r="AB11">
        <v>18</v>
      </c>
      <c r="AC11">
        <v>27.9</v>
      </c>
    </row>
    <row r="12" spans="1:29" x14ac:dyDescent="0.25">
      <c r="A12">
        <v>11</v>
      </c>
      <c r="B12" t="s">
        <v>384</v>
      </c>
      <c r="C12" t="s">
        <v>62</v>
      </c>
      <c r="D12" s="4">
        <f t="shared" si="0"/>
        <v>16.55</v>
      </c>
      <c r="E12">
        <v>18.3</v>
      </c>
      <c r="F12">
        <v>293</v>
      </c>
      <c r="G12" s="3">
        <f t="shared" si="4"/>
        <v>16</v>
      </c>
      <c r="H12" s="6">
        <f t="shared" si="5"/>
        <v>11</v>
      </c>
      <c r="I12" s="6">
        <f t="shared" si="1"/>
        <v>4</v>
      </c>
      <c r="J12" s="6">
        <f t="shared" si="2"/>
        <v>0</v>
      </c>
      <c r="K12" s="7">
        <f t="shared" si="3"/>
        <v>16</v>
      </c>
      <c r="L12">
        <v>15.1</v>
      </c>
      <c r="M12">
        <v>14.9</v>
      </c>
      <c r="N12">
        <v>17.399999999999999</v>
      </c>
      <c r="O12">
        <v>14</v>
      </c>
      <c r="P12">
        <v>14.4</v>
      </c>
      <c r="Q12" t="s">
        <v>7</v>
      </c>
      <c r="R12">
        <v>14.1</v>
      </c>
      <c r="S12">
        <v>19.2</v>
      </c>
      <c r="T12">
        <v>24.5</v>
      </c>
      <c r="U12">
        <v>16.5</v>
      </c>
      <c r="V12">
        <v>17.8</v>
      </c>
      <c r="W12">
        <v>28.8</v>
      </c>
      <c r="X12">
        <v>16.600000000000001</v>
      </c>
      <c r="Y12">
        <v>14.1</v>
      </c>
      <c r="Z12">
        <v>15.8</v>
      </c>
      <c r="AA12">
        <v>23.7</v>
      </c>
      <c r="AB12">
        <v>26</v>
      </c>
      <c r="AC12" t="s">
        <v>8</v>
      </c>
    </row>
    <row r="13" spans="1:29" x14ac:dyDescent="0.25">
      <c r="A13">
        <v>12</v>
      </c>
      <c r="B13" t="s">
        <v>385</v>
      </c>
      <c r="C13" t="s">
        <v>45</v>
      </c>
      <c r="D13" s="4">
        <f t="shared" si="0"/>
        <v>14.8</v>
      </c>
      <c r="E13">
        <v>17</v>
      </c>
      <c r="F13">
        <v>288.39999999999998</v>
      </c>
      <c r="G13" s="3">
        <f t="shared" si="4"/>
        <v>15</v>
      </c>
      <c r="H13" s="6">
        <f t="shared" si="5"/>
        <v>8</v>
      </c>
      <c r="I13" s="6">
        <f t="shared" si="1"/>
        <v>5</v>
      </c>
      <c r="J13" s="6">
        <f t="shared" si="2"/>
        <v>0</v>
      </c>
      <c r="K13" s="7">
        <f t="shared" si="3"/>
        <v>17</v>
      </c>
      <c r="L13">
        <v>10.4</v>
      </c>
      <c r="M13">
        <v>12</v>
      </c>
      <c r="N13">
        <v>9</v>
      </c>
      <c r="O13">
        <v>11.2</v>
      </c>
      <c r="P13" t="s">
        <v>7</v>
      </c>
      <c r="Q13">
        <v>13.7</v>
      </c>
      <c r="R13">
        <v>14.8</v>
      </c>
      <c r="S13">
        <v>24.1</v>
      </c>
      <c r="T13">
        <v>19.5</v>
      </c>
      <c r="U13">
        <v>19.8</v>
      </c>
      <c r="V13">
        <v>24.4</v>
      </c>
      <c r="W13">
        <v>17.600000000000001</v>
      </c>
      <c r="X13">
        <v>8</v>
      </c>
      <c r="Y13">
        <v>13.7</v>
      </c>
      <c r="Z13">
        <v>14.8</v>
      </c>
      <c r="AA13">
        <v>23.2</v>
      </c>
      <c r="AB13">
        <v>24.4</v>
      </c>
      <c r="AC13">
        <v>28</v>
      </c>
    </row>
    <row r="14" spans="1:29" x14ac:dyDescent="0.25">
      <c r="A14">
        <v>13</v>
      </c>
      <c r="B14" t="s">
        <v>386</v>
      </c>
      <c r="C14" t="s">
        <v>97</v>
      </c>
      <c r="D14" s="4">
        <f t="shared" si="0"/>
        <v>16.7</v>
      </c>
      <c r="E14">
        <v>16.5</v>
      </c>
      <c r="F14">
        <v>281</v>
      </c>
      <c r="G14" s="3">
        <f t="shared" si="4"/>
        <v>14</v>
      </c>
      <c r="H14" s="6">
        <f t="shared" si="5"/>
        <v>9</v>
      </c>
      <c r="I14" s="6">
        <f t="shared" si="1"/>
        <v>5</v>
      </c>
      <c r="J14" s="6">
        <f t="shared" si="2"/>
        <v>0</v>
      </c>
      <c r="K14" s="7">
        <f t="shared" si="3"/>
        <v>17</v>
      </c>
      <c r="L14">
        <v>18.8</v>
      </c>
      <c r="M14">
        <v>17.899999999999999</v>
      </c>
      <c r="N14">
        <v>13.4</v>
      </c>
      <c r="O14">
        <v>22.6</v>
      </c>
      <c r="P14">
        <v>22.6</v>
      </c>
      <c r="Q14">
        <v>14.5</v>
      </c>
      <c r="R14">
        <v>17.8</v>
      </c>
      <c r="S14">
        <v>9.1</v>
      </c>
      <c r="T14">
        <v>25.1</v>
      </c>
      <c r="U14" t="s">
        <v>7</v>
      </c>
      <c r="V14">
        <v>16.7</v>
      </c>
      <c r="W14">
        <v>13.4</v>
      </c>
      <c r="X14">
        <v>12.4</v>
      </c>
      <c r="Y14">
        <v>13.3</v>
      </c>
      <c r="Z14">
        <v>5.5</v>
      </c>
      <c r="AA14">
        <v>23.4</v>
      </c>
      <c r="AB14">
        <v>8.3000000000000007</v>
      </c>
      <c r="AC14">
        <v>26.3</v>
      </c>
    </row>
    <row r="15" spans="1:29" x14ac:dyDescent="0.25">
      <c r="A15">
        <v>14</v>
      </c>
      <c r="B15" t="s">
        <v>387</v>
      </c>
      <c r="C15" t="s">
        <v>76</v>
      </c>
      <c r="D15" s="4">
        <f t="shared" si="0"/>
        <v>20.2</v>
      </c>
      <c r="E15">
        <v>18.600000000000001</v>
      </c>
      <c r="F15">
        <v>278.89999999999998</v>
      </c>
      <c r="G15" s="3">
        <f t="shared" si="4"/>
        <v>13</v>
      </c>
      <c r="H15" s="6">
        <f t="shared" si="5"/>
        <v>12</v>
      </c>
      <c r="I15" s="6">
        <f t="shared" si="1"/>
        <v>8</v>
      </c>
      <c r="J15" s="6">
        <f t="shared" si="2"/>
        <v>1</v>
      </c>
      <c r="K15" s="7">
        <f t="shared" si="3"/>
        <v>15</v>
      </c>
      <c r="L15">
        <v>10.3</v>
      </c>
      <c r="M15">
        <v>15</v>
      </c>
      <c r="N15">
        <v>25.8</v>
      </c>
      <c r="O15">
        <v>15.6</v>
      </c>
      <c r="P15">
        <v>15.1</v>
      </c>
      <c r="Q15">
        <v>24.1</v>
      </c>
      <c r="R15">
        <v>20.2</v>
      </c>
      <c r="S15">
        <v>26</v>
      </c>
      <c r="T15" t="s">
        <v>7</v>
      </c>
      <c r="U15">
        <v>23.8</v>
      </c>
      <c r="V15">
        <v>19.399999999999999</v>
      </c>
      <c r="W15" t="s">
        <v>8</v>
      </c>
      <c r="X15">
        <v>2.2000000000000002</v>
      </c>
      <c r="Y15">
        <v>22.1</v>
      </c>
      <c r="Z15">
        <v>5</v>
      </c>
      <c r="AA15">
        <v>22.1</v>
      </c>
      <c r="AB15">
        <v>32.299999999999997</v>
      </c>
      <c r="AC15" t="s">
        <v>8</v>
      </c>
    </row>
    <row r="16" spans="1:29" x14ac:dyDescent="0.25">
      <c r="A16">
        <v>15</v>
      </c>
      <c r="B16" t="s">
        <v>388</v>
      </c>
      <c r="C16" t="s">
        <v>78</v>
      </c>
      <c r="D16" s="4">
        <f t="shared" si="0"/>
        <v>15.1</v>
      </c>
      <c r="E16">
        <v>15.7</v>
      </c>
      <c r="F16">
        <v>267.60000000000002</v>
      </c>
      <c r="G16" s="3">
        <f t="shared" si="4"/>
        <v>14</v>
      </c>
      <c r="H16" s="6">
        <f t="shared" si="5"/>
        <v>11</v>
      </c>
      <c r="I16" s="6">
        <f t="shared" si="1"/>
        <v>4</v>
      </c>
      <c r="J16" s="6">
        <f t="shared" si="2"/>
        <v>1</v>
      </c>
      <c r="K16" s="7">
        <f t="shared" si="3"/>
        <v>17</v>
      </c>
      <c r="L16">
        <v>9.6</v>
      </c>
      <c r="M16">
        <v>15.1</v>
      </c>
      <c r="N16">
        <v>21</v>
      </c>
      <c r="O16">
        <v>11.6</v>
      </c>
      <c r="P16">
        <v>14.8</v>
      </c>
      <c r="Q16">
        <v>18.8</v>
      </c>
      <c r="R16">
        <v>15</v>
      </c>
      <c r="S16">
        <v>17.3</v>
      </c>
      <c r="T16">
        <v>20.3</v>
      </c>
      <c r="U16">
        <v>4</v>
      </c>
      <c r="V16">
        <v>16.100000000000001</v>
      </c>
      <c r="W16" t="s">
        <v>8</v>
      </c>
      <c r="X16">
        <v>15</v>
      </c>
      <c r="Y16">
        <v>17.600000000000001</v>
      </c>
      <c r="Z16">
        <v>30.1</v>
      </c>
      <c r="AA16">
        <v>12.8</v>
      </c>
      <c r="AB16">
        <v>2.5</v>
      </c>
      <c r="AC16">
        <v>26</v>
      </c>
    </row>
    <row r="17" spans="1:29" x14ac:dyDescent="0.25">
      <c r="A17">
        <v>16</v>
      </c>
      <c r="B17" t="s">
        <v>389</v>
      </c>
      <c r="C17" t="s">
        <v>43</v>
      </c>
      <c r="D17" s="4">
        <f t="shared" si="0"/>
        <v>11.5</v>
      </c>
      <c r="E17">
        <v>15.3</v>
      </c>
      <c r="F17">
        <v>260.5</v>
      </c>
      <c r="G17" s="3">
        <f t="shared" si="4"/>
        <v>10</v>
      </c>
      <c r="H17" s="6">
        <f t="shared" si="5"/>
        <v>7</v>
      </c>
      <c r="I17" s="6">
        <f t="shared" si="1"/>
        <v>5</v>
      </c>
      <c r="J17" s="6">
        <f t="shared" si="2"/>
        <v>0</v>
      </c>
      <c r="K17" s="7">
        <f t="shared" si="3"/>
        <v>17</v>
      </c>
      <c r="L17">
        <v>7.2</v>
      </c>
      <c r="M17">
        <v>9.4</v>
      </c>
      <c r="N17">
        <v>19.3</v>
      </c>
      <c r="O17">
        <v>11.5</v>
      </c>
      <c r="P17">
        <v>23.6</v>
      </c>
      <c r="Q17">
        <v>29.6</v>
      </c>
      <c r="R17" t="s">
        <v>7</v>
      </c>
      <c r="S17">
        <v>9.9</v>
      </c>
      <c r="T17">
        <v>9.1999999999999993</v>
      </c>
      <c r="U17">
        <v>6.3</v>
      </c>
      <c r="V17">
        <v>16.2</v>
      </c>
      <c r="W17">
        <v>26.9</v>
      </c>
      <c r="X17">
        <v>26.1</v>
      </c>
      <c r="Y17">
        <v>14.1</v>
      </c>
      <c r="Z17">
        <v>9.9</v>
      </c>
      <c r="AA17">
        <v>22.8</v>
      </c>
      <c r="AB17">
        <v>7.6</v>
      </c>
      <c r="AC17">
        <v>10.9</v>
      </c>
    </row>
    <row r="18" spans="1:29" x14ac:dyDescent="0.25">
      <c r="A18">
        <v>17</v>
      </c>
      <c r="B18" t="s">
        <v>390</v>
      </c>
      <c r="C18" t="s">
        <v>16</v>
      </c>
      <c r="D18" s="4">
        <f t="shared" si="0"/>
        <v>17</v>
      </c>
      <c r="E18">
        <v>16.3</v>
      </c>
      <c r="F18">
        <v>244.9</v>
      </c>
      <c r="G18" s="3">
        <f t="shared" si="4"/>
        <v>13</v>
      </c>
      <c r="H18" s="6">
        <f t="shared" si="5"/>
        <v>8</v>
      </c>
      <c r="I18" s="6">
        <f t="shared" si="1"/>
        <v>3</v>
      </c>
      <c r="J18" s="6">
        <f t="shared" si="2"/>
        <v>1</v>
      </c>
      <c r="K18" s="7">
        <f t="shared" si="3"/>
        <v>15</v>
      </c>
      <c r="L18">
        <v>17.399999999999999</v>
      </c>
      <c r="M18" t="s">
        <v>8</v>
      </c>
      <c r="N18" t="s">
        <v>8</v>
      </c>
      <c r="O18">
        <v>31.2</v>
      </c>
      <c r="P18">
        <v>17</v>
      </c>
      <c r="Q18">
        <v>26.6</v>
      </c>
      <c r="R18">
        <v>18.8</v>
      </c>
      <c r="S18">
        <v>6.7</v>
      </c>
      <c r="T18">
        <v>11.9</v>
      </c>
      <c r="U18" t="s">
        <v>7</v>
      </c>
      <c r="V18">
        <v>21.2</v>
      </c>
      <c r="W18">
        <v>14.7</v>
      </c>
      <c r="X18">
        <v>19</v>
      </c>
      <c r="Y18">
        <v>14.5</v>
      </c>
      <c r="Z18">
        <v>17.600000000000001</v>
      </c>
      <c r="AA18">
        <v>11.5</v>
      </c>
      <c r="AB18">
        <v>14</v>
      </c>
      <c r="AC18">
        <v>2.8</v>
      </c>
    </row>
    <row r="19" spans="1:29" x14ac:dyDescent="0.25">
      <c r="A19">
        <v>18</v>
      </c>
      <c r="B19" t="s">
        <v>391</v>
      </c>
      <c r="C19" t="s">
        <v>32</v>
      </c>
      <c r="D19" s="4">
        <f t="shared" si="0"/>
        <v>12.4</v>
      </c>
      <c r="E19">
        <v>13.7</v>
      </c>
      <c r="F19">
        <v>232.4</v>
      </c>
      <c r="G19" s="3">
        <f t="shared" si="4"/>
        <v>14</v>
      </c>
      <c r="H19" s="6">
        <f t="shared" si="5"/>
        <v>6</v>
      </c>
      <c r="I19" s="6">
        <f t="shared" si="1"/>
        <v>1</v>
      </c>
      <c r="J19" s="6">
        <f t="shared" si="2"/>
        <v>0</v>
      </c>
      <c r="K19" s="7">
        <f t="shared" si="3"/>
        <v>17</v>
      </c>
      <c r="L19">
        <v>18.7</v>
      </c>
      <c r="M19">
        <v>14.3</v>
      </c>
      <c r="N19">
        <v>11.8</v>
      </c>
      <c r="O19">
        <v>23.5</v>
      </c>
      <c r="P19">
        <v>16.899999999999999</v>
      </c>
      <c r="Q19">
        <v>19.399999999999999</v>
      </c>
      <c r="R19">
        <v>5.3</v>
      </c>
      <c r="S19">
        <v>12.4</v>
      </c>
      <c r="T19">
        <v>11.5</v>
      </c>
      <c r="U19">
        <v>11.8</v>
      </c>
      <c r="V19">
        <v>11.9</v>
      </c>
      <c r="W19">
        <v>17.7</v>
      </c>
      <c r="X19">
        <v>14.4</v>
      </c>
      <c r="Y19" t="s">
        <v>7</v>
      </c>
      <c r="Z19">
        <v>11.6</v>
      </c>
      <c r="AA19">
        <v>18.100000000000001</v>
      </c>
      <c r="AB19">
        <v>7.1</v>
      </c>
      <c r="AC19">
        <v>6</v>
      </c>
    </row>
    <row r="20" spans="1:29" x14ac:dyDescent="0.25">
      <c r="A20">
        <v>19</v>
      </c>
      <c r="B20" t="s">
        <v>392</v>
      </c>
      <c r="C20" t="s">
        <v>20</v>
      </c>
      <c r="D20" s="4">
        <f t="shared" si="0"/>
        <v>13.100000000000001</v>
      </c>
      <c r="E20">
        <v>13.9</v>
      </c>
      <c r="F20">
        <v>222.6</v>
      </c>
      <c r="G20" s="3">
        <f t="shared" si="4"/>
        <v>10</v>
      </c>
      <c r="H20" s="6">
        <f t="shared" si="5"/>
        <v>7</v>
      </c>
      <c r="I20" s="6">
        <f t="shared" si="1"/>
        <v>3</v>
      </c>
      <c r="J20" s="6">
        <f t="shared" si="2"/>
        <v>0</v>
      </c>
      <c r="K20" s="7">
        <f t="shared" si="3"/>
        <v>16</v>
      </c>
      <c r="L20">
        <v>15.7</v>
      </c>
      <c r="M20">
        <v>6.6</v>
      </c>
      <c r="N20">
        <v>12.8</v>
      </c>
      <c r="O20">
        <v>5.9</v>
      </c>
      <c r="P20">
        <v>13.4</v>
      </c>
      <c r="Q20" t="s">
        <v>7</v>
      </c>
      <c r="R20">
        <v>5</v>
      </c>
      <c r="S20">
        <v>25.8</v>
      </c>
      <c r="T20">
        <v>18.899999999999999</v>
      </c>
      <c r="U20">
        <v>10.7</v>
      </c>
      <c r="V20">
        <v>27.8</v>
      </c>
      <c r="W20">
        <v>19.2</v>
      </c>
      <c r="X20">
        <v>15.6</v>
      </c>
      <c r="Y20">
        <v>20.8</v>
      </c>
      <c r="Z20">
        <v>8.1999999999999993</v>
      </c>
      <c r="AA20">
        <v>7</v>
      </c>
      <c r="AB20">
        <v>9.1999999999999993</v>
      </c>
      <c r="AC20" t="s">
        <v>8</v>
      </c>
    </row>
    <row r="21" spans="1:29" x14ac:dyDescent="0.25">
      <c r="A21">
        <v>20</v>
      </c>
      <c r="B21" t="s">
        <v>393</v>
      </c>
      <c r="C21" t="s">
        <v>36</v>
      </c>
      <c r="D21" s="4">
        <f t="shared" si="0"/>
        <v>13.75</v>
      </c>
      <c r="E21">
        <v>14.6</v>
      </c>
      <c r="F21">
        <v>204</v>
      </c>
      <c r="G21" s="3">
        <f t="shared" si="4"/>
        <v>11</v>
      </c>
      <c r="H21" s="6">
        <f t="shared" si="5"/>
        <v>6</v>
      </c>
      <c r="I21" s="6">
        <f t="shared" si="1"/>
        <v>3</v>
      </c>
      <c r="J21" s="6">
        <f t="shared" si="2"/>
        <v>1</v>
      </c>
      <c r="K21" s="7">
        <f t="shared" si="3"/>
        <v>14</v>
      </c>
      <c r="L21">
        <v>11.6</v>
      </c>
      <c r="M21">
        <v>3</v>
      </c>
      <c r="N21" t="s">
        <v>8</v>
      </c>
      <c r="O21" t="s">
        <v>8</v>
      </c>
      <c r="P21">
        <v>3.1</v>
      </c>
      <c r="Q21" t="s">
        <v>8</v>
      </c>
      <c r="R21">
        <v>-0.2</v>
      </c>
      <c r="S21">
        <v>15.6</v>
      </c>
      <c r="T21">
        <v>10.7</v>
      </c>
      <c r="U21">
        <v>12</v>
      </c>
      <c r="V21" t="s">
        <v>7</v>
      </c>
      <c r="W21">
        <v>16.5</v>
      </c>
      <c r="X21">
        <v>23.6</v>
      </c>
      <c r="Y21">
        <v>13.5</v>
      </c>
      <c r="Z21">
        <v>14</v>
      </c>
      <c r="AA21">
        <v>27.1</v>
      </c>
      <c r="AB21">
        <v>16.899999999999999</v>
      </c>
      <c r="AC21">
        <v>36.4</v>
      </c>
    </row>
    <row r="22" spans="1:29" x14ac:dyDescent="0.25">
      <c r="A22">
        <v>21</v>
      </c>
      <c r="B22" t="s">
        <v>394</v>
      </c>
      <c r="C22" t="s">
        <v>14</v>
      </c>
      <c r="D22" s="4">
        <f t="shared" si="0"/>
        <v>11.5</v>
      </c>
      <c r="E22">
        <v>13.7</v>
      </c>
      <c r="F22">
        <v>192.3</v>
      </c>
      <c r="G22" s="3">
        <f t="shared" si="4"/>
        <v>8</v>
      </c>
      <c r="H22" s="6">
        <f t="shared" si="5"/>
        <v>4</v>
      </c>
      <c r="I22" s="6">
        <f t="shared" si="1"/>
        <v>2</v>
      </c>
      <c r="J22" s="6">
        <f t="shared" si="2"/>
        <v>1</v>
      </c>
      <c r="K22" s="7">
        <f t="shared" si="3"/>
        <v>14</v>
      </c>
      <c r="L22">
        <v>8.1999999999999993</v>
      </c>
      <c r="M22">
        <v>17.5</v>
      </c>
      <c r="N22">
        <v>12.1</v>
      </c>
      <c r="O22">
        <v>8.5</v>
      </c>
      <c r="P22">
        <v>35.4</v>
      </c>
      <c r="Q22">
        <v>12.5</v>
      </c>
      <c r="R22">
        <v>9.1999999999999993</v>
      </c>
      <c r="S22">
        <v>28.6</v>
      </c>
      <c r="T22">
        <v>17.8</v>
      </c>
      <c r="U22">
        <v>11.2</v>
      </c>
      <c r="V22">
        <v>5.9</v>
      </c>
      <c r="W22" t="s">
        <v>7</v>
      </c>
      <c r="X22">
        <v>6.1</v>
      </c>
      <c r="Y22">
        <v>11.8</v>
      </c>
      <c r="Z22">
        <v>7.5</v>
      </c>
      <c r="AA22" t="s">
        <v>8</v>
      </c>
      <c r="AB22" t="s">
        <v>8</v>
      </c>
      <c r="AC22" t="s">
        <v>8</v>
      </c>
    </row>
    <row r="23" spans="1:29" x14ac:dyDescent="0.25">
      <c r="A23">
        <v>22</v>
      </c>
      <c r="B23" t="s">
        <v>395</v>
      </c>
      <c r="C23" t="s">
        <v>18</v>
      </c>
      <c r="D23" s="4">
        <f t="shared" si="0"/>
        <v>17.5</v>
      </c>
      <c r="E23">
        <v>17.100000000000001</v>
      </c>
      <c r="F23">
        <v>188.6</v>
      </c>
      <c r="G23" s="3">
        <f t="shared" si="4"/>
        <v>8</v>
      </c>
      <c r="H23" s="6">
        <f t="shared" si="5"/>
        <v>6</v>
      </c>
      <c r="I23" s="6">
        <f t="shared" si="1"/>
        <v>4</v>
      </c>
      <c r="J23" s="6">
        <f t="shared" si="2"/>
        <v>0</v>
      </c>
      <c r="K23" s="7">
        <f t="shared" si="3"/>
        <v>11</v>
      </c>
      <c r="L23">
        <v>18.600000000000001</v>
      </c>
      <c r="M23">
        <v>8.5</v>
      </c>
      <c r="N23" t="s">
        <v>8</v>
      </c>
      <c r="O23" t="s">
        <v>8</v>
      </c>
      <c r="P23" t="s">
        <v>8</v>
      </c>
      <c r="Q23" t="s">
        <v>7</v>
      </c>
      <c r="R23" t="s">
        <v>8</v>
      </c>
      <c r="S23">
        <v>14.7</v>
      </c>
      <c r="T23">
        <v>17.5</v>
      </c>
      <c r="U23">
        <v>9.1999999999999993</v>
      </c>
      <c r="V23">
        <v>23.5</v>
      </c>
      <c r="W23">
        <v>28.5</v>
      </c>
      <c r="X23">
        <v>25.2</v>
      </c>
      <c r="Y23">
        <v>23.5</v>
      </c>
      <c r="Z23">
        <v>6.8</v>
      </c>
      <c r="AA23">
        <v>12.5</v>
      </c>
      <c r="AB23" t="s">
        <v>8</v>
      </c>
      <c r="AC23" t="s">
        <v>8</v>
      </c>
    </row>
    <row r="24" spans="1:29" x14ac:dyDescent="0.25">
      <c r="A24">
        <v>23</v>
      </c>
      <c r="B24" t="s">
        <v>396</v>
      </c>
      <c r="C24" t="s">
        <v>57</v>
      </c>
      <c r="D24" s="4">
        <f t="shared" si="0"/>
        <v>16.100000000000001</v>
      </c>
      <c r="E24">
        <v>13.4</v>
      </c>
      <c r="F24">
        <v>187.1</v>
      </c>
      <c r="G24" s="3">
        <f t="shared" si="4"/>
        <v>10</v>
      </c>
      <c r="H24" s="6">
        <f t="shared" si="5"/>
        <v>7</v>
      </c>
      <c r="I24" s="6">
        <f t="shared" si="1"/>
        <v>3</v>
      </c>
      <c r="J24" s="6">
        <f t="shared" si="2"/>
        <v>0</v>
      </c>
      <c r="K24" s="7">
        <f t="shared" si="3"/>
        <v>14</v>
      </c>
      <c r="L24" t="s">
        <v>8</v>
      </c>
      <c r="M24" t="s">
        <v>8</v>
      </c>
      <c r="N24">
        <v>2.1</v>
      </c>
      <c r="O24" t="s">
        <v>8</v>
      </c>
      <c r="P24">
        <v>0</v>
      </c>
      <c r="Q24">
        <v>21.5</v>
      </c>
      <c r="R24">
        <v>20.8</v>
      </c>
      <c r="S24">
        <v>11.5</v>
      </c>
      <c r="T24">
        <v>17.7</v>
      </c>
      <c r="U24">
        <v>12.8</v>
      </c>
      <c r="V24">
        <v>19</v>
      </c>
      <c r="W24">
        <v>14.5</v>
      </c>
      <c r="X24">
        <v>20.399999999999999</v>
      </c>
      <c r="Y24" t="s">
        <v>7</v>
      </c>
      <c r="Z24">
        <v>18.5</v>
      </c>
      <c r="AA24">
        <v>18.399999999999999</v>
      </c>
      <c r="AB24">
        <v>9.9</v>
      </c>
      <c r="AC24">
        <v>0</v>
      </c>
    </row>
    <row r="25" spans="1:29" x14ac:dyDescent="0.25">
      <c r="A25">
        <v>24</v>
      </c>
      <c r="B25" t="s">
        <v>397</v>
      </c>
      <c r="C25" t="s">
        <v>55</v>
      </c>
      <c r="D25" s="4">
        <f t="shared" si="0"/>
        <v>16</v>
      </c>
      <c r="E25">
        <v>16.2</v>
      </c>
      <c r="F25">
        <v>177.8</v>
      </c>
      <c r="G25" s="3">
        <f t="shared" si="4"/>
        <v>9</v>
      </c>
      <c r="H25" s="6">
        <f t="shared" si="5"/>
        <v>6</v>
      </c>
      <c r="I25" s="6">
        <f t="shared" si="1"/>
        <v>2</v>
      </c>
      <c r="J25" s="6">
        <f t="shared" si="2"/>
        <v>0</v>
      </c>
      <c r="K25" s="7">
        <f t="shared" si="3"/>
        <v>11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  <c r="Q25" t="s">
        <v>8</v>
      </c>
      <c r="R25">
        <v>24.9</v>
      </c>
      <c r="S25">
        <v>13.8</v>
      </c>
      <c r="T25" t="s">
        <v>8</v>
      </c>
      <c r="U25">
        <v>19.100000000000001</v>
      </c>
      <c r="V25">
        <v>7.3</v>
      </c>
      <c r="W25">
        <v>13.8</v>
      </c>
      <c r="X25">
        <v>27.9</v>
      </c>
      <c r="Y25">
        <v>16</v>
      </c>
      <c r="Z25">
        <v>8.4</v>
      </c>
      <c r="AA25">
        <v>16.399999999999999</v>
      </c>
      <c r="AB25">
        <v>18.7</v>
      </c>
      <c r="AC25">
        <v>11.5</v>
      </c>
    </row>
    <row r="26" spans="1:29" x14ac:dyDescent="0.25">
      <c r="A26">
        <v>25</v>
      </c>
      <c r="B26" t="s">
        <v>398</v>
      </c>
      <c r="C26" t="s">
        <v>24</v>
      </c>
      <c r="D26" s="4">
        <f t="shared" si="0"/>
        <v>13</v>
      </c>
      <c r="E26">
        <v>15.9</v>
      </c>
      <c r="F26">
        <v>174.4</v>
      </c>
      <c r="G26" s="3">
        <f t="shared" si="4"/>
        <v>8</v>
      </c>
      <c r="H26" s="6">
        <f t="shared" si="5"/>
        <v>5</v>
      </c>
      <c r="I26" s="6">
        <f t="shared" si="1"/>
        <v>4</v>
      </c>
      <c r="J26" s="6">
        <f t="shared" si="2"/>
        <v>0</v>
      </c>
      <c r="K26" s="7">
        <f t="shared" si="3"/>
        <v>11</v>
      </c>
      <c r="L26">
        <v>27.1</v>
      </c>
      <c r="M26">
        <v>12.9</v>
      </c>
      <c r="N26">
        <v>7.1</v>
      </c>
      <c r="O26">
        <v>5.2</v>
      </c>
      <c r="P26" t="s">
        <v>8</v>
      </c>
      <c r="Q26" t="s">
        <v>8</v>
      </c>
      <c r="R26">
        <v>8.8000000000000007</v>
      </c>
      <c r="S26">
        <v>12.5</v>
      </c>
      <c r="T26" t="s">
        <v>8</v>
      </c>
      <c r="U26" t="s">
        <v>8</v>
      </c>
      <c r="V26">
        <v>28.1</v>
      </c>
      <c r="W26">
        <v>13</v>
      </c>
      <c r="X26">
        <v>23.2</v>
      </c>
      <c r="Y26" t="s">
        <v>7</v>
      </c>
      <c r="Z26">
        <v>15.4</v>
      </c>
      <c r="AA26">
        <v>21.2</v>
      </c>
      <c r="AB26" t="s">
        <v>8</v>
      </c>
      <c r="AC26" t="s">
        <v>8</v>
      </c>
    </row>
    <row r="27" spans="1:29" x14ac:dyDescent="0.25">
      <c r="A27">
        <v>26</v>
      </c>
      <c r="B27" t="s">
        <v>399</v>
      </c>
      <c r="C27" t="s">
        <v>90</v>
      </c>
      <c r="D27" s="4">
        <f t="shared" si="0"/>
        <v>14.1</v>
      </c>
      <c r="E27">
        <v>15.6</v>
      </c>
      <c r="F27">
        <v>155.9</v>
      </c>
      <c r="G27" s="3">
        <f t="shared" si="4"/>
        <v>8</v>
      </c>
      <c r="H27" s="6">
        <f t="shared" si="5"/>
        <v>4</v>
      </c>
      <c r="I27" s="6">
        <f t="shared" si="1"/>
        <v>3</v>
      </c>
      <c r="J27" s="6">
        <f t="shared" si="2"/>
        <v>0</v>
      </c>
      <c r="K27" s="7">
        <f t="shared" si="3"/>
        <v>10</v>
      </c>
      <c r="L27">
        <v>21.3</v>
      </c>
      <c r="M27">
        <v>22.8</v>
      </c>
      <c r="N27">
        <v>9</v>
      </c>
      <c r="O27">
        <v>9.1</v>
      </c>
      <c r="P27">
        <v>13.6</v>
      </c>
      <c r="Q27" t="s">
        <v>8</v>
      </c>
      <c r="R27" t="s">
        <v>8</v>
      </c>
      <c r="S27" t="s">
        <v>8</v>
      </c>
      <c r="T27">
        <v>13.4</v>
      </c>
      <c r="U27">
        <v>20.5</v>
      </c>
      <c r="V27">
        <v>18.7</v>
      </c>
      <c r="W27" t="s">
        <v>8</v>
      </c>
      <c r="X27">
        <v>14.6</v>
      </c>
      <c r="Y27">
        <v>13</v>
      </c>
      <c r="Z27" t="s">
        <v>8</v>
      </c>
      <c r="AA27" t="s">
        <v>8</v>
      </c>
      <c r="AB27" t="s">
        <v>8</v>
      </c>
      <c r="AC27" t="s">
        <v>8</v>
      </c>
    </row>
    <row r="28" spans="1:29" x14ac:dyDescent="0.25">
      <c r="A28">
        <v>27</v>
      </c>
      <c r="B28" t="s">
        <v>400</v>
      </c>
      <c r="C28" t="s">
        <v>66</v>
      </c>
      <c r="D28" s="4">
        <f t="shared" si="0"/>
        <v>14.9</v>
      </c>
      <c r="E28">
        <v>15.2</v>
      </c>
      <c r="F28">
        <v>152.19999999999999</v>
      </c>
      <c r="G28" s="3">
        <f t="shared" si="4"/>
        <v>9</v>
      </c>
      <c r="H28" s="6">
        <f t="shared" si="5"/>
        <v>5</v>
      </c>
      <c r="I28" s="6">
        <f t="shared" si="1"/>
        <v>3</v>
      </c>
      <c r="J28" s="6">
        <f t="shared" si="2"/>
        <v>0</v>
      </c>
      <c r="K28" s="7">
        <f t="shared" si="3"/>
        <v>10</v>
      </c>
      <c r="L28">
        <v>11.3</v>
      </c>
      <c r="M28">
        <v>13.3</v>
      </c>
      <c r="N28">
        <v>10.4</v>
      </c>
      <c r="O28">
        <v>14.8</v>
      </c>
      <c r="P28">
        <v>22.2</v>
      </c>
      <c r="Q28">
        <v>18.100000000000001</v>
      </c>
      <c r="R28">
        <v>15</v>
      </c>
      <c r="S28">
        <v>24.3</v>
      </c>
      <c r="T28">
        <v>21.6</v>
      </c>
      <c r="U28" t="s">
        <v>8</v>
      </c>
      <c r="V28" t="s">
        <v>8</v>
      </c>
      <c r="W28" t="s">
        <v>7</v>
      </c>
      <c r="X28">
        <v>1.2</v>
      </c>
      <c r="Y28" t="s">
        <v>8</v>
      </c>
      <c r="Z28" t="s">
        <v>8</v>
      </c>
      <c r="AA28" t="s">
        <v>8</v>
      </c>
      <c r="AB28" t="s">
        <v>8</v>
      </c>
      <c r="AC28" t="s">
        <v>8</v>
      </c>
    </row>
    <row r="29" spans="1:29" x14ac:dyDescent="0.25">
      <c r="A29">
        <v>28</v>
      </c>
      <c r="B29" t="s">
        <v>401</v>
      </c>
      <c r="C29" t="s">
        <v>55</v>
      </c>
      <c r="D29" s="4">
        <f t="shared" si="0"/>
        <v>10.899999999999999</v>
      </c>
      <c r="E29">
        <v>11.9</v>
      </c>
      <c r="F29">
        <v>143.1</v>
      </c>
      <c r="G29" s="3">
        <f t="shared" si="4"/>
        <v>6</v>
      </c>
      <c r="H29" s="6">
        <f t="shared" si="5"/>
        <v>4</v>
      </c>
      <c r="I29" s="6">
        <f t="shared" si="1"/>
        <v>3</v>
      </c>
      <c r="J29" s="6">
        <f t="shared" si="2"/>
        <v>1</v>
      </c>
      <c r="K29" s="7">
        <f t="shared" si="3"/>
        <v>12</v>
      </c>
      <c r="L29" t="s">
        <v>8</v>
      </c>
      <c r="M29">
        <v>0.4</v>
      </c>
      <c r="N29">
        <v>0.1</v>
      </c>
      <c r="O29" t="s">
        <v>8</v>
      </c>
      <c r="P29">
        <v>0.3</v>
      </c>
      <c r="Q29">
        <v>0</v>
      </c>
      <c r="R29">
        <v>8.6999999999999993</v>
      </c>
      <c r="S29">
        <v>23.6</v>
      </c>
      <c r="T29">
        <v>13.1</v>
      </c>
      <c r="U29" t="s">
        <v>8</v>
      </c>
      <c r="V29">
        <v>26.6</v>
      </c>
      <c r="W29">
        <v>14.5</v>
      </c>
      <c r="X29">
        <v>36</v>
      </c>
      <c r="Y29">
        <v>17.3</v>
      </c>
      <c r="Z29">
        <v>2.6</v>
      </c>
      <c r="AA29" t="s">
        <v>8</v>
      </c>
      <c r="AB29" t="s">
        <v>8</v>
      </c>
      <c r="AC29" t="s">
        <v>8</v>
      </c>
    </row>
    <row r="30" spans="1:29" x14ac:dyDescent="0.25">
      <c r="A30">
        <v>29</v>
      </c>
      <c r="B30" t="s">
        <v>402</v>
      </c>
      <c r="C30" t="s">
        <v>24</v>
      </c>
      <c r="D30" s="4">
        <f t="shared" si="0"/>
        <v>13.5</v>
      </c>
      <c r="E30">
        <v>14.2</v>
      </c>
      <c r="F30">
        <v>142.30000000000001</v>
      </c>
      <c r="G30" s="3">
        <f t="shared" si="4"/>
        <v>7</v>
      </c>
      <c r="H30" s="6">
        <f t="shared" si="5"/>
        <v>4</v>
      </c>
      <c r="I30" s="6">
        <f t="shared" si="1"/>
        <v>2</v>
      </c>
      <c r="J30" s="6">
        <f t="shared" si="2"/>
        <v>0</v>
      </c>
      <c r="K30" s="7">
        <f t="shared" si="3"/>
        <v>10</v>
      </c>
      <c r="L30">
        <v>6.9</v>
      </c>
      <c r="M30">
        <v>18.3</v>
      </c>
      <c r="N30">
        <v>19.399999999999999</v>
      </c>
      <c r="O30">
        <v>10.5</v>
      </c>
      <c r="P30">
        <v>22.1</v>
      </c>
      <c r="Q30">
        <v>12.8</v>
      </c>
      <c r="R30">
        <v>6</v>
      </c>
      <c r="S30">
        <v>7.7</v>
      </c>
      <c r="T30">
        <v>24.4</v>
      </c>
      <c r="U30">
        <v>14.2</v>
      </c>
      <c r="V30" t="s">
        <v>8</v>
      </c>
      <c r="W30" t="s">
        <v>8</v>
      </c>
      <c r="X30" t="s">
        <v>8</v>
      </c>
      <c r="Y30" t="s">
        <v>7</v>
      </c>
      <c r="Z30" t="s">
        <v>8</v>
      </c>
      <c r="AA30" t="s">
        <v>8</v>
      </c>
      <c r="AB30" t="s">
        <v>8</v>
      </c>
      <c r="AC30" t="s">
        <v>8</v>
      </c>
    </row>
    <row r="31" spans="1:29" x14ac:dyDescent="0.25">
      <c r="A31">
        <v>30</v>
      </c>
      <c r="B31" t="s">
        <v>403</v>
      </c>
      <c r="C31" t="s">
        <v>47</v>
      </c>
      <c r="D31" s="4">
        <f t="shared" si="0"/>
        <v>12.15</v>
      </c>
      <c r="E31">
        <v>11</v>
      </c>
      <c r="F31">
        <v>131.9</v>
      </c>
      <c r="G31" s="3">
        <f t="shared" si="4"/>
        <v>7</v>
      </c>
      <c r="H31" s="6">
        <f t="shared" si="5"/>
        <v>5</v>
      </c>
      <c r="I31" s="6">
        <f t="shared" si="1"/>
        <v>0</v>
      </c>
      <c r="J31" s="6">
        <f t="shared" si="2"/>
        <v>0</v>
      </c>
      <c r="K31" s="7">
        <f t="shared" si="3"/>
        <v>12</v>
      </c>
      <c r="L31">
        <v>8.6999999999999993</v>
      </c>
      <c r="M31">
        <v>12.5</v>
      </c>
      <c r="N31">
        <v>15.6</v>
      </c>
      <c r="O31">
        <v>0.5</v>
      </c>
      <c r="P31" t="s">
        <v>7</v>
      </c>
      <c r="Q31">
        <v>8.3000000000000007</v>
      </c>
      <c r="R31" t="s">
        <v>8</v>
      </c>
      <c r="S31" t="s">
        <v>8</v>
      </c>
      <c r="T31" t="s">
        <v>8</v>
      </c>
      <c r="U31">
        <v>19.100000000000001</v>
      </c>
      <c r="V31">
        <v>16.600000000000001</v>
      </c>
      <c r="W31">
        <v>17.100000000000001</v>
      </c>
      <c r="X31">
        <v>16.2</v>
      </c>
      <c r="Y31">
        <v>7</v>
      </c>
      <c r="Z31">
        <v>-1.4</v>
      </c>
      <c r="AA31" t="s">
        <v>8</v>
      </c>
      <c r="AB31" t="s">
        <v>8</v>
      </c>
      <c r="AC31">
        <v>11.8</v>
      </c>
    </row>
    <row r="32" spans="1:29" x14ac:dyDescent="0.25">
      <c r="A32">
        <v>31</v>
      </c>
      <c r="B32" t="s">
        <v>404</v>
      </c>
      <c r="C32" t="s">
        <v>64</v>
      </c>
      <c r="D32" s="4">
        <f t="shared" si="0"/>
        <v>15.25</v>
      </c>
      <c r="E32">
        <v>15.6</v>
      </c>
      <c r="F32">
        <v>124.5</v>
      </c>
      <c r="G32" s="3">
        <f t="shared" si="4"/>
        <v>7</v>
      </c>
      <c r="H32" s="6">
        <f t="shared" si="5"/>
        <v>4</v>
      </c>
      <c r="I32" s="6">
        <f t="shared" si="1"/>
        <v>1</v>
      </c>
      <c r="J32" s="6">
        <f t="shared" si="2"/>
        <v>0</v>
      </c>
      <c r="K32" s="7">
        <f t="shared" si="3"/>
        <v>8</v>
      </c>
      <c r="L32">
        <v>11.5</v>
      </c>
      <c r="M32">
        <v>14.9</v>
      </c>
      <c r="N32">
        <v>29.9</v>
      </c>
      <c r="O32">
        <v>16.7</v>
      </c>
      <c r="P32">
        <v>18.399999999999999</v>
      </c>
      <c r="Q32">
        <v>5.2</v>
      </c>
      <c r="R32" t="s">
        <v>7</v>
      </c>
      <c r="S32">
        <v>15.6</v>
      </c>
      <c r="T32">
        <v>12.3</v>
      </c>
      <c r="U32" t="s">
        <v>8</v>
      </c>
      <c r="V32" t="s">
        <v>8</v>
      </c>
      <c r="W32" t="s">
        <v>8</v>
      </c>
      <c r="X32" t="s">
        <v>8</v>
      </c>
      <c r="Y32" t="s">
        <v>8</v>
      </c>
      <c r="Z32" t="s">
        <v>8</v>
      </c>
      <c r="AA32" t="s">
        <v>8</v>
      </c>
      <c r="AB32" t="s">
        <v>8</v>
      </c>
      <c r="AC32" t="s">
        <v>8</v>
      </c>
    </row>
    <row r="33" spans="1:32" x14ac:dyDescent="0.25">
      <c r="A33">
        <v>32</v>
      </c>
      <c r="B33" t="s">
        <v>405</v>
      </c>
      <c r="C33" t="s">
        <v>40</v>
      </c>
      <c r="D33" s="4">
        <f t="shared" si="0"/>
        <v>11.65</v>
      </c>
      <c r="E33">
        <v>12</v>
      </c>
      <c r="F33">
        <v>120.1</v>
      </c>
      <c r="G33" s="3">
        <f t="shared" si="4"/>
        <v>6</v>
      </c>
      <c r="H33" s="6">
        <f t="shared" si="5"/>
        <v>4</v>
      </c>
      <c r="I33" s="6">
        <f t="shared" si="1"/>
        <v>2</v>
      </c>
      <c r="J33" s="6">
        <f t="shared" si="2"/>
        <v>1</v>
      </c>
      <c r="K33" s="7">
        <f t="shared" si="3"/>
        <v>10</v>
      </c>
      <c r="L33">
        <v>11.9</v>
      </c>
      <c r="M33">
        <v>11.4</v>
      </c>
      <c r="N33">
        <v>19.399999999999999</v>
      </c>
      <c r="O33">
        <v>32</v>
      </c>
      <c r="P33">
        <v>15.9</v>
      </c>
      <c r="Q33">
        <v>23.7</v>
      </c>
      <c r="R33" t="s">
        <v>8</v>
      </c>
      <c r="S33" t="s">
        <v>8</v>
      </c>
      <c r="T33" t="s">
        <v>8</v>
      </c>
      <c r="U33" t="s">
        <v>8</v>
      </c>
      <c r="V33">
        <v>1.7</v>
      </c>
      <c r="W33">
        <v>2.6</v>
      </c>
      <c r="X33">
        <v>0.7</v>
      </c>
      <c r="Y33" t="s">
        <v>8</v>
      </c>
      <c r="Z33">
        <v>0.8</v>
      </c>
      <c r="AA33" t="s">
        <v>8</v>
      </c>
      <c r="AB33" t="s">
        <v>8</v>
      </c>
      <c r="AC33" t="s">
        <v>8</v>
      </c>
      <c r="AF33" s="3">
        <f>MEDIAN(L1:AC36)</f>
        <v>16.100000000000001</v>
      </c>
    </row>
    <row r="34" spans="1:32" x14ac:dyDescent="0.25">
      <c r="A34">
        <v>33</v>
      </c>
      <c r="B34" t="s">
        <v>406</v>
      </c>
      <c r="C34" t="s">
        <v>12</v>
      </c>
      <c r="D34" s="4">
        <f t="shared" ref="D34:D65" si="6">MEDIAN(L34:AC34)</f>
        <v>11.4</v>
      </c>
      <c r="E34">
        <v>9.5</v>
      </c>
      <c r="F34">
        <v>114.6</v>
      </c>
      <c r="G34" s="3">
        <f t="shared" si="4"/>
        <v>7</v>
      </c>
      <c r="H34" s="6">
        <f t="shared" si="5"/>
        <v>4</v>
      </c>
      <c r="I34" s="6">
        <f t="shared" ref="I34:I65" si="7">COUNTIFS(L34:AC34,"&gt;=20",L34:AC34,"&lt;=99")</f>
        <v>0</v>
      </c>
      <c r="J34" s="6">
        <f t="shared" ref="J34:J65" si="8">COUNTIFS(L34:AC34,"&gt;=30",L34:AC34,"&lt;=99")</f>
        <v>0</v>
      </c>
      <c r="K34" s="7">
        <f t="shared" ref="K34:K65" si="9">COUNT(L34:AC34)</f>
        <v>12</v>
      </c>
      <c r="L34">
        <v>-0.1</v>
      </c>
      <c r="M34">
        <v>0.2</v>
      </c>
      <c r="N34" t="s">
        <v>8</v>
      </c>
      <c r="O34" t="s">
        <v>8</v>
      </c>
      <c r="P34" t="s">
        <v>8</v>
      </c>
      <c r="Q34">
        <v>1</v>
      </c>
      <c r="R34" t="s">
        <v>8</v>
      </c>
      <c r="S34" t="s">
        <v>8</v>
      </c>
      <c r="T34">
        <v>11</v>
      </c>
      <c r="U34">
        <v>-2</v>
      </c>
      <c r="V34">
        <v>17.399999999999999</v>
      </c>
      <c r="W34">
        <v>18</v>
      </c>
      <c r="X34">
        <v>11.8</v>
      </c>
      <c r="Y34">
        <v>14.8</v>
      </c>
      <c r="Z34">
        <v>19.100000000000001</v>
      </c>
      <c r="AA34">
        <v>15.3</v>
      </c>
      <c r="AB34">
        <v>8.1</v>
      </c>
      <c r="AC34" t="s">
        <v>8</v>
      </c>
    </row>
    <row r="35" spans="1:32" x14ac:dyDescent="0.25">
      <c r="A35">
        <v>34</v>
      </c>
      <c r="B35" t="s">
        <v>407</v>
      </c>
      <c r="C35" t="s">
        <v>62</v>
      </c>
      <c r="D35" s="4">
        <f t="shared" si="6"/>
        <v>12.25</v>
      </c>
      <c r="E35">
        <v>10.6</v>
      </c>
      <c r="F35">
        <v>106.3</v>
      </c>
      <c r="G35" s="3">
        <f t="shared" si="4"/>
        <v>6</v>
      </c>
      <c r="H35" s="6">
        <f t="shared" si="5"/>
        <v>3</v>
      </c>
      <c r="I35" s="6">
        <f t="shared" si="7"/>
        <v>0</v>
      </c>
      <c r="J35" s="6">
        <f t="shared" si="8"/>
        <v>0</v>
      </c>
      <c r="K35" s="7">
        <f t="shared" si="9"/>
        <v>10</v>
      </c>
      <c r="L35">
        <v>11.8</v>
      </c>
      <c r="M35">
        <v>13.9</v>
      </c>
      <c r="N35">
        <v>15</v>
      </c>
      <c r="O35">
        <v>5</v>
      </c>
      <c r="P35">
        <v>9.6999999999999993</v>
      </c>
      <c r="Q35" t="s">
        <v>7</v>
      </c>
      <c r="R35">
        <v>1.4</v>
      </c>
      <c r="S35">
        <v>15</v>
      </c>
      <c r="T35">
        <v>3</v>
      </c>
      <c r="U35" t="s">
        <v>8</v>
      </c>
      <c r="V35">
        <v>19</v>
      </c>
      <c r="W35">
        <v>12.7</v>
      </c>
      <c r="X35" t="s">
        <v>8</v>
      </c>
      <c r="Y35" t="s">
        <v>8</v>
      </c>
      <c r="Z35" t="s">
        <v>8</v>
      </c>
      <c r="AA35" t="s">
        <v>8</v>
      </c>
      <c r="AB35" t="s">
        <v>8</v>
      </c>
      <c r="AC35" t="s">
        <v>8</v>
      </c>
    </row>
    <row r="36" spans="1:32" x14ac:dyDescent="0.25">
      <c r="A36">
        <v>35</v>
      </c>
      <c r="B36" t="s">
        <v>408</v>
      </c>
      <c r="C36" t="s">
        <v>69</v>
      </c>
      <c r="D36" s="4">
        <f t="shared" si="6"/>
        <v>14.649999999999999</v>
      </c>
      <c r="E36">
        <v>13.3</v>
      </c>
      <c r="F36">
        <v>106</v>
      </c>
      <c r="G36" s="3">
        <f t="shared" si="4"/>
        <v>6</v>
      </c>
      <c r="H36" s="6">
        <f t="shared" si="5"/>
        <v>3</v>
      </c>
      <c r="I36" s="6">
        <f t="shared" si="7"/>
        <v>1</v>
      </c>
      <c r="J36" s="6">
        <f t="shared" si="8"/>
        <v>0</v>
      </c>
      <c r="K36" s="7">
        <f t="shared" si="9"/>
        <v>8</v>
      </c>
      <c r="L36" t="s">
        <v>8</v>
      </c>
      <c r="M36" t="s">
        <v>8</v>
      </c>
      <c r="N36" t="s">
        <v>8</v>
      </c>
      <c r="O36">
        <v>15</v>
      </c>
      <c r="P36">
        <v>26.6</v>
      </c>
      <c r="Q36">
        <v>14.7</v>
      </c>
      <c r="R36" t="s">
        <v>8</v>
      </c>
      <c r="S36">
        <v>0</v>
      </c>
      <c r="T36">
        <v>4.0999999999999996</v>
      </c>
      <c r="U36">
        <v>13.9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8</v>
      </c>
      <c r="AB36">
        <v>17.3</v>
      </c>
      <c r="AC36">
        <v>14.6</v>
      </c>
    </row>
    <row r="37" spans="1:32" x14ac:dyDescent="0.25">
      <c r="A37">
        <v>36</v>
      </c>
      <c r="B37" t="s">
        <v>409</v>
      </c>
      <c r="C37" t="s">
        <v>78</v>
      </c>
      <c r="D37" s="4">
        <f t="shared" si="6"/>
        <v>14.9</v>
      </c>
      <c r="E37">
        <v>13.1</v>
      </c>
      <c r="F37">
        <v>104.8</v>
      </c>
      <c r="G37" s="3">
        <f t="shared" si="4"/>
        <v>6</v>
      </c>
      <c r="H37" s="6">
        <f t="shared" si="5"/>
        <v>4</v>
      </c>
      <c r="I37" s="6">
        <f t="shared" si="7"/>
        <v>1</v>
      </c>
      <c r="J37" s="6">
        <f t="shared" si="8"/>
        <v>0</v>
      </c>
      <c r="K37" s="7">
        <f t="shared" si="9"/>
        <v>8</v>
      </c>
      <c r="L37" t="s">
        <v>8</v>
      </c>
      <c r="M37" t="s">
        <v>8</v>
      </c>
      <c r="N37" t="s">
        <v>8</v>
      </c>
      <c r="O37">
        <v>3.4</v>
      </c>
      <c r="P37" t="s">
        <v>8</v>
      </c>
      <c r="Q37" t="s">
        <v>8</v>
      </c>
      <c r="R37">
        <v>10.9</v>
      </c>
      <c r="S37">
        <v>21.5</v>
      </c>
      <c r="T37">
        <v>18.5</v>
      </c>
      <c r="U37" t="s">
        <v>8</v>
      </c>
      <c r="V37" t="s">
        <v>8</v>
      </c>
      <c r="W37" t="s">
        <v>8</v>
      </c>
      <c r="X37" t="s">
        <v>8</v>
      </c>
      <c r="Y37" t="s">
        <v>8</v>
      </c>
      <c r="Z37">
        <v>16.8</v>
      </c>
      <c r="AA37">
        <v>17.399999999999999</v>
      </c>
      <c r="AB37">
        <v>13</v>
      </c>
      <c r="AC37">
        <v>3.3</v>
      </c>
    </row>
    <row r="38" spans="1:32" x14ac:dyDescent="0.25">
      <c r="A38">
        <v>37</v>
      </c>
      <c r="B38" t="s">
        <v>410</v>
      </c>
      <c r="C38" t="s">
        <v>76</v>
      </c>
      <c r="D38" s="4">
        <f t="shared" si="6"/>
        <v>10.45</v>
      </c>
      <c r="E38">
        <v>10.4</v>
      </c>
      <c r="F38">
        <v>104.1</v>
      </c>
      <c r="G38" s="3">
        <f t="shared" si="4"/>
        <v>5</v>
      </c>
      <c r="H38" s="6">
        <f t="shared" si="5"/>
        <v>3</v>
      </c>
      <c r="I38" s="6">
        <f t="shared" si="7"/>
        <v>2</v>
      </c>
      <c r="J38" s="6">
        <f t="shared" si="8"/>
        <v>0</v>
      </c>
      <c r="K38" s="7">
        <f t="shared" si="9"/>
        <v>10</v>
      </c>
      <c r="L38" t="s">
        <v>8</v>
      </c>
      <c r="M38" t="s">
        <v>8</v>
      </c>
      <c r="N38">
        <v>-1.1000000000000001</v>
      </c>
      <c r="O38" t="s">
        <v>8</v>
      </c>
      <c r="P38" t="s">
        <v>8</v>
      </c>
      <c r="Q38">
        <v>0.2</v>
      </c>
      <c r="R38" t="s">
        <v>8</v>
      </c>
      <c r="S38" t="s">
        <v>8</v>
      </c>
      <c r="T38" t="s">
        <v>7</v>
      </c>
      <c r="U38">
        <v>7.2</v>
      </c>
      <c r="V38">
        <v>5.2</v>
      </c>
      <c r="W38" t="s">
        <v>8</v>
      </c>
      <c r="X38">
        <v>20</v>
      </c>
      <c r="Y38">
        <v>7.1</v>
      </c>
      <c r="Z38">
        <v>20.7</v>
      </c>
      <c r="AA38">
        <v>13.9</v>
      </c>
      <c r="AB38">
        <v>17.2</v>
      </c>
      <c r="AC38">
        <v>13.7</v>
      </c>
    </row>
    <row r="39" spans="1:32" x14ac:dyDescent="0.25">
      <c r="A39">
        <v>38</v>
      </c>
      <c r="B39" t="s">
        <v>411</v>
      </c>
      <c r="C39" t="s">
        <v>97</v>
      </c>
      <c r="D39" s="4">
        <f t="shared" si="6"/>
        <v>11.5</v>
      </c>
      <c r="E39">
        <v>10.8</v>
      </c>
      <c r="F39">
        <v>97.5</v>
      </c>
      <c r="G39" s="3">
        <f t="shared" si="4"/>
        <v>5</v>
      </c>
      <c r="H39" s="6">
        <f t="shared" si="5"/>
        <v>3</v>
      </c>
      <c r="I39" s="6">
        <f t="shared" si="7"/>
        <v>0</v>
      </c>
      <c r="J39" s="6">
        <f t="shared" si="8"/>
        <v>0</v>
      </c>
      <c r="K39" s="7">
        <f t="shared" si="9"/>
        <v>9</v>
      </c>
      <c r="L39" t="s">
        <v>8</v>
      </c>
      <c r="M39" t="s">
        <v>8</v>
      </c>
      <c r="N39">
        <v>7.3</v>
      </c>
      <c r="O39" t="s">
        <v>8</v>
      </c>
      <c r="P39">
        <v>2.8</v>
      </c>
      <c r="Q39">
        <v>12.1</v>
      </c>
      <c r="R39">
        <v>2.1</v>
      </c>
      <c r="S39" t="s">
        <v>8</v>
      </c>
      <c r="T39" t="s">
        <v>8</v>
      </c>
      <c r="U39" t="s">
        <v>7</v>
      </c>
      <c r="V39" t="s">
        <v>8</v>
      </c>
      <c r="W39" t="s">
        <v>8</v>
      </c>
      <c r="X39">
        <v>19.600000000000001</v>
      </c>
      <c r="Y39">
        <v>7.8</v>
      </c>
      <c r="Z39" t="s">
        <v>8</v>
      </c>
      <c r="AA39">
        <v>11.5</v>
      </c>
      <c r="AB39">
        <v>17.600000000000001</v>
      </c>
      <c r="AC39">
        <v>16.899999999999999</v>
      </c>
    </row>
    <row r="40" spans="1:32" x14ac:dyDescent="0.25">
      <c r="A40">
        <v>39</v>
      </c>
      <c r="B40" t="s">
        <v>412</v>
      </c>
      <c r="C40" t="s">
        <v>53</v>
      </c>
      <c r="D40" s="4">
        <f t="shared" si="6"/>
        <v>8.8000000000000007</v>
      </c>
      <c r="E40">
        <v>12.2</v>
      </c>
      <c r="F40">
        <v>85.1</v>
      </c>
      <c r="G40" s="3">
        <f t="shared" si="4"/>
        <v>3</v>
      </c>
      <c r="H40" s="6">
        <f t="shared" si="5"/>
        <v>3</v>
      </c>
      <c r="I40" s="6">
        <f t="shared" si="7"/>
        <v>1</v>
      </c>
      <c r="J40" s="6">
        <f t="shared" si="8"/>
        <v>1</v>
      </c>
      <c r="K40" s="7">
        <f t="shared" si="9"/>
        <v>7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  <c r="Q40" t="s">
        <v>8</v>
      </c>
      <c r="R40">
        <v>1.5</v>
      </c>
      <c r="S40" t="s">
        <v>8</v>
      </c>
      <c r="T40" t="s">
        <v>8</v>
      </c>
      <c r="U40" t="s">
        <v>7</v>
      </c>
      <c r="V40" t="s">
        <v>8</v>
      </c>
      <c r="W40">
        <v>0.1</v>
      </c>
      <c r="X40">
        <v>15.8</v>
      </c>
      <c r="Y40">
        <v>16</v>
      </c>
      <c r="Z40" t="s">
        <v>8</v>
      </c>
      <c r="AA40">
        <v>8.5</v>
      </c>
      <c r="AB40">
        <v>34.4</v>
      </c>
      <c r="AC40">
        <v>8.8000000000000007</v>
      </c>
    </row>
    <row r="41" spans="1:32" x14ac:dyDescent="0.25">
      <c r="A41">
        <v>40</v>
      </c>
      <c r="B41" t="s">
        <v>413</v>
      </c>
      <c r="C41" t="s">
        <v>69</v>
      </c>
      <c r="D41" s="4">
        <f t="shared" si="6"/>
        <v>12.7</v>
      </c>
      <c r="E41">
        <v>11.4</v>
      </c>
      <c r="F41">
        <v>79.7</v>
      </c>
      <c r="G41" s="3">
        <f t="shared" si="4"/>
        <v>4</v>
      </c>
      <c r="H41" s="6">
        <f t="shared" si="5"/>
        <v>2</v>
      </c>
      <c r="I41" s="6">
        <f t="shared" si="7"/>
        <v>0</v>
      </c>
      <c r="J41" s="6">
        <f t="shared" si="8"/>
        <v>0</v>
      </c>
      <c r="K41" s="7">
        <f t="shared" si="9"/>
        <v>7</v>
      </c>
      <c r="L41">
        <v>12.7</v>
      </c>
      <c r="M41">
        <v>15.4</v>
      </c>
      <c r="N41">
        <v>16.399999999999999</v>
      </c>
      <c r="O41">
        <v>13.2</v>
      </c>
      <c r="P41">
        <v>8.4</v>
      </c>
      <c r="Q41">
        <v>8.4</v>
      </c>
      <c r="R41">
        <v>5.0999999999999996</v>
      </c>
      <c r="S41" t="s">
        <v>8</v>
      </c>
      <c r="T41" t="s">
        <v>8</v>
      </c>
      <c r="U41" t="s">
        <v>7</v>
      </c>
      <c r="V41" t="s">
        <v>8</v>
      </c>
      <c r="W41" t="s">
        <v>8</v>
      </c>
      <c r="X41" t="s">
        <v>8</v>
      </c>
      <c r="Y41" t="s">
        <v>8</v>
      </c>
      <c r="Z41" t="s">
        <v>8</v>
      </c>
      <c r="AA41" t="s">
        <v>8</v>
      </c>
      <c r="AB41" t="s">
        <v>8</v>
      </c>
      <c r="AC41" t="s">
        <v>8</v>
      </c>
    </row>
    <row r="42" spans="1:32" x14ac:dyDescent="0.25">
      <c r="A42">
        <v>41</v>
      </c>
      <c r="B42" t="s">
        <v>414</v>
      </c>
      <c r="C42" t="s">
        <v>26</v>
      </c>
      <c r="D42" s="4">
        <f t="shared" si="6"/>
        <v>9.4</v>
      </c>
      <c r="E42">
        <v>10.3</v>
      </c>
      <c r="F42">
        <v>72.3</v>
      </c>
      <c r="G42" s="3">
        <f t="shared" si="4"/>
        <v>3</v>
      </c>
      <c r="H42" s="6">
        <f t="shared" si="5"/>
        <v>1</v>
      </c>
      <c r="I42" s="6">
        <f t="shared" si="7"/>
        <v>0</v>
      </c>
      <c r="J42" s="6">
        <f t="shared" si="8"/>
        <v>0</v>
      </c>
      <c r="K42" s="7">
        <f t="shared" si="9"/>
        <v>7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>
        <v>14.4</v>
      </c>
      <c r="R42">
        <v>6.3</v>
      </c>
      <c r="S42">
        <v>6.2</v>
      </c>
      <c r="T42" t="s">
        <v>8</v>
      </c>
      <c r="U42" t="s">
        <v>8</v>
      </c>
      <c r="V42" t="s">
        <v>8</v>
      </c>
      <c r="W42" t="s">
        <v>7</v>
      </c>
      <c r="X42" t="s">
        <v>8</v>
      </c>
      <c r="Y42" t="s">
        <v>8</v>
      </c>
      <c r="Z42">
        <v>9.4</v>
      </c>
      <c r="AA42">
        <v>5.9</v>
      </c>
      <c r="AB42">
        <v>15.3</v>
      </c>
      <c r="AC42">
        <v>14.7</v>
      </c>
    </row>
    <row r="43" spans="1:32" x14ac:dyDescent="0.25">
      <c r="A43">
        <v>42</v>
      </c>
      <c r="B43" t="s">
        <v>415</v>
      </c>
      <c r="C43" t="s">
        <v>36</v>
      </c>
      <c r="D43" s="4">
        <f t="shared" si="6"/>
        <v>10.7</v>
      </c>
      <c r="E43">
        <v>10.8</v>
      </c>
      <c r="F43">
        <v>65</v>
      </c>
      <c r="G43" s="3">
        <f t="shared" si="4"/>
        <v>3</v>
      </c>
      <c r="H43" s="6">
        <f t="shared" si="5"/>
        <v>3</v>
      </c>
      <c r="I43" s="6">
        <f t="shared" si="7"/>
        <v>1</v>
      </c>
      <c r="J43" s="6">
        <f t="shared" si="8"/>
        <v>0</v>
      </c>
      <c r="K43" s="7">
        <f t="shared" si="9"/>
        <v>6</v>
      </c>
      <c r="L43">
        <v>0</v>
      </c>
      <c r="M43" t="s">
        <v>8</v>
      </c>
      <c r="N43">
        <v>24.6</v>
      </c>
      <c r="O43">
        <v>16.7</v>
      </c>
      <c r="P43">
        <v>4.7</v>
      </c>
      <c r="Q43">
        <v>16.899999999999999</v>
      </c>
      <c r="R43">
        <v>2</v>
      </c>
      <c r="S43" t="s">
        <v>8</v>
      </c>
      <c r="T43" t="s">
        <v>8</v>
      </c>
      <c r="U43" t="s">
        <v>8</v>
      </c>
      <c r="V43" t="s">
        <v>7</v>
      </c>
      <c r="W43" t="s">
        <v>8</v>
      </c>
      <c r="X43" t="s">
        <v>8</v>
      </c>
      <c r="Y43" t="s">
        <v>8</v>
      </c>
      <c r="Z43" t="s">
        <v>8</v>
      </c>
      <c r="AA43" t="s">
        <v>8</v>
      </c>
      <c r="AB43" t="s">
        <v>8</v>
      </c>
      <c r="AC43" t="s">
        <v>8</v>
      </c>
    </row>
    <row r="44" spans="1:32" x14ac:dyDescent="0.25">
      <c r="A44">
        <v>43</v>
      </c>
      <c r="B44" t="s">
        <v>416</v>
      </c>
      <c r="C44" t="s">
        <v>90</v>
      </c>
      <c r="D44" s="4">
        <f t="shared" si="6"/>
        <v>10.7</v>
      </c>
      <c r="E44">
        <v>12.7</v>
      </c>
      <c r="F44">
        <v>63.7</v>
      </c>
      <c r="G44" s="3">
        <f t="shared" si="4"/>
        <v>3</v>
      </c>
      <c r="H44" s="6">
        <f t="shared" si="5"/>
        <v>1</v>
      </c>
      <c r="I44" s="6">
        <f t="shared" si="7"/>
        <v>1</v>
      </c>
      <c r="J44" s="6">
        <f t="shared" si="8"/>
        <v>0</v>
      </c>
      <c r="K44" s="7">
        <f t="shared" si="9"/>
        <v>5</v>
      </c>
      <c r="L44" t="s">
        <v>8</v>
      </c>
      <c r="M44" t="s">
        <v>8</v>
      </c>
      <c r="N44" t="s">
        <v>8</v>
      </c>
      <c r="O44">
        <v>11.8</v>
      </c>
      <c r="P44">
        <v>7.5</v>
      </c>
      <c r="Q44" t="s">
        <v>8</v>
      </c>
      <c r="R44">
        <v>9.5</v>
      </c>
      <c r="S44" t="s">
        <v>8</v>
      </c>
      <c r="T44" t="s">
        <v>8</v>
      </c>
      <c r="U44" t="s">
        <v>8</v>
      </c>
      <c r="V44" t="s">
        <v>8</v>
      </c>
      <c r="W44" t="s">
        <v>8</v>
      </c>
      <c r="X44" t="s">
        <v>8</v>
      </c>
      <c r="Y44" t="s">
        <v>8</v>
      </c>
      <c r="Z44" t="s">
        <v>8</v>
      </c>
      <c r="AA44" t="s">
        <v>8</v>
      </c>
      <c r="AB44">
        <v>24.2</v>
      </c>
      <c r="AC44">
        <v>10.7</v>
      </c>
    </row>
    <row r="45" spans="1:32" x14ac:dyDescent="0.25">
      <c r="A45">
        <v>44</v>
      </c>
      <c r="B45" t="s">
        <v>417</v>
      </c>
      <c r="C45" t="s">
        <v>16</v>
      </c>
      <c r="D45" s="4">
        <f t="shared" si="6"/>
        <v>3.7</v>
      </c>
      <c r="E45">
        <v>7.4</v>
      </c>
      <c r="F45">
        <v>51.8</v>
      </c>
      <c r="G45" s="3">
        <f t="shared" si="4"/>
        <v>2</v>
      </c>
      <c r="H45" s="6">
        <f t="shared" si="5"/>
        <v>1</v>
      </c>
      <c r="I45" s="6">
        <f t="shared" si="7"/>
        <v>1</v>
      </c>
      <c r="J45" s="6">
        <f t="shared" si="8"/>
        <v>0</v>
      </c>
      <c r="K45" s="7">
        <f t="shared" si="9"/>
        <v>7</v>
      </c>
      <c r="L45">
        <v>0</v>
      </c>
      <c r="M45">
        <v>13</v>
      </c>
      <c r="N45">
        <v>25.4</v>
      </c>
      <c r="O45" t="s">
        <v>8</v>
      </c>
      <c r="P45" t="s">
        <v>8</v>
      </c>
      <c r="Q45" t="s">
        <v>8</v>
      </c>
      <c r="R45" t="s">
        <v>8</v>
      </c>
      <c r="S45">
        <v>8.5</v>
      </c>
      <c r="T45" t="s">
        <v>8</v>
      </c>
      <c r="U45" t="s">
        <v>7</v>
      </c>
      <c r="V45" t="s">
        <v>8</v>
      </c>
      <c r="W45">
        <v>0</v>
      </c>
      <c r="X45" t="s">
        <v>8</v>
      </c>
      <c r="Y45" t="s">
        <v>8</v>
      </c>
      <c r="Z45" t="s">
        <v>8</v>
      </c>
      <c r="AA45">
        <v>1.2</v>
      </c>
      <c r="AB45" t="s">
        <v>8</v>
      </c>
      <c r="AC45">
        <v>3.7</v>
      </c>
    </row>
    <row r="46" spans="1:32" x14ac:dyDescent="0.25">
      <c r="A46">
        <v>45</v>
      </c>
      <c r="B46" t="s">
        <v>418</v>
      </c>
      <c r="C46" t="s">
        <v>14</v>
      </c>
      <c r="D46" s="4">
        <f t="shared" si="6"/>
        <v>7.4</v>
      </c>
      <c r="E46">
        <v>9.4</v>
      </c>
      <c r="F46">
        <v>47.1</v>
      </c>
      <c r="G46" s="3">
        <f t="shared" si="4"/>
        <v>2</v>
      </c>
      <c r="H46" s="6">
        <f t="shared" si="5"/>
        <v>1</v>
      </c>
      <c r="I46" s="6">
        <f t="shared" si="7"/>
        <v>1</v>
      </c>
      <c r="J46" s="6">
        <f t="shared" si="8"/>
        <v>0</v>
      </c>
      <c r="K46" s="7">
        <f t="shared" si="9"/>
        <v>5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 t="s">
        <v>8</v>
      </c>
      <c r="R46">
        <v>0.6</v>
      </c>
      <c r="S46" t="s">
        <v>8</v>
      </c>
      <c r="T46" t="s">
        <v>8</v>
      </c>
      <c r="U46" t="s">
        <v>8</v>
      </c>
      <c r="V46">
        <v>1</v>
      </c>
      <c r="W46" t="s">
        <v>7</v>
      </c>
      <c r="X46" t="s">
        <v>8</v>
      </c>
      <c r="Y46" t="s">
        <v>8</v>
      </c>
      <c r="Z46" t="s">
        <v>8</v>
      </c>
      <c r="AA46">
        <v>7.4</v>
      </c>
      <c r="AB46">
        <v>12.2</v>
      </c>
      <c r="AC46">
        <v>26</v>
      </c>
    </row>
    <row r="47" spans="1:32" x14ac:dyDescent="0.25">
      <c r="A47">
        <v>46</v>
      </c>
      <c r="B47" t="s">
        <v>419</v>
      </c>
      <c r="C47" t="s">
        <v>28</v>
      </c>
      <c r="D47" s="4">
        <f t="shared" si="6"/>
        <v>7.7</v>
      </c>
      <c r="E47">
        <v>5.8</v>
      </c>
      <c r="F47">
        <v>46.2</v>
      </c>
      <c r="G47" s="3">
        <f t="shared" si="4"/>
        <v>1</v>
      </c>
      <c r="H47" s="6">
        <f t="shared" si="5"/>
        <v>0</v>
      </c>
      <c r="I47" s="6">
        <f t="shared" si="7"/>
        <v>0</v>
      </c>
      <c r="J47" s="6">
        <f t="shared" si="8"/>
        <v>0</v>
      </c>
      <c r="K47" s="7">
        <f t="shared" si="9"/>
        <v>8</v>
      </c>
      <c r="L47">
        <v>8</v>
      </c>
      <c r="M47">
        <v>10.6</v>
      </c>
      <c r="N47">
        <v>3.9</v>
      </c>
      <c r="O47">
        <v>8</v>
      </c>
      <c r="P47">
        <v>7.4</v>
      </c>
      <c r="Q47" t="s">
        <v>8</v>
      </c>
      <c r="R47" t="s">
        <v>8</v>
      </c>
      <c r="S47">
        <v>8.4</v>
      </c>
      <c r="T47" t="s">
        <v>8</v>
      </c>
      <c r="U47" t="s">
        <v>8</v>
      </c>
      <c r="V47" t="s">
        <v>7</v>
      </c>
      <c r="W47" t="s">
        <v>8</v>
      </c>
      <c r="X47">
        <v>0</v>
      </c>
      <c r="Y47" t="s">
        <v>8</v>
      </c>
      <c r="Z47" t="s">
        <v>8</v>
      </c>
      <c r="AA47" t="s">
        <v>8</v>
      </c>
      <c r="AB47">
        <v>-0.1</v>
      </c>
      <c r="AC47" t="s">
        <v>8</v>
      </c>
    </row>
    <row r="48" spans="1:32" x14ac:dyDescent="0.25">
      <c r="A48">
        <v>47</v>
      </c>
      <c r="B48" t="s">
        <v>420</v>
      </c>
      <c r="C48" t="s">
        <v>60</v>
      </c>
      <c r="D48" s="4">
        <f t="shared" si="6"/>
        <v>19.600000000000001</v>
      </c>
      <c r="E48">
        <v>15.3</v>
      </c>
      <c r="F48">
        <v>45.8</v>
      </c>
      <c r="G48" s="3">
        <f t="shared" si="4"/>
        <v>2</v>
      </c>
      <c r="H48" s="6">
        <f t="shared" si="5"/>
        <v>2</v>
      </c>
      <c r="I48" s="6">
        <f t="shared" si="7"/>
        <v>1</v>
      </c>
      <c r="J48" s="6">
        <f t="shared" si="8"/>
        <v>0</v>
      </c>
      <c r="K48" s="7">
        <f t="shared" si="9"/>
        <v>3</v>
      </c>
      <c r="L48" t="s">
        <v>8</v>
      </c>
      <c r="M48" t="s">
        <v>8</v>
      </c>
      <c r="N48" t="s">
        <v>8</v>
      </c>
      <c r="O48" t="s">
        <v>8</v>
      </c>
      <c r="P48">
        <v>0.1</v>
      </c>
      <c r="Q48" t="s">
        <v>8</v>
      </c>
      <c r="R48">
        <v>19.600000000000001</v>
      </c>
      <c r="S48" t="s">
        <v>8</v>
      </c>
      <c r="T48" t="s">
        <v>8</v>
      </c>
      <c r="U48" t="s">
        <v>8</v>
      </c>
      <c r="V48" t="s">
        <v>8</v>
      </c>
      <c r="W48" t="s">
        <v>8</v>
      </c>
      <c r="X48" t="s">
        <v>8</v>
      </c>
      <c r="Y48" t="s">
        <v>7</v>
      </c>
      <c r="Z48" t="s">
        <v>8</v>
      </c>
      <c r="AA48" t="s">
        <v>8</v>
      </c>
      <c r="AB48" t="s">
        <v>8</v>
      </c>
      <c r="AC48">
        <v>26</v>
      </c>
    </row>
    <row r="49" spans="1:29" x14ac:dyDescent="0.25">
      <c r="A49">
        <v>48</v>
      </c>
      <c r="B49" t="s">
        <v>421</v>
      </c>
      <c r="C49" t="s">
        <v>57</v>
      </c>
      <c r="D49" s="4">
        <f t="shared" si="6"/>
        <v>8.1</v>
      </c>
      <c r="E49">
        <v>10.9</v>
      </c>
      <c r="F49">
        <v>32.799999999999997</v>
      </c>
      <c r="G49" s="3">
        <f t="shared" si="4"/>
        <v>1</v>
      </c>
      <c r="H49" s="6">
        <f t="shared" si="5"/>
        <v>1</v>
      </c>
      <c r="I49" s="6">
        <f t="shared" si="7"/>
        <v>1</v>
      </c>
      <c r="J49" s="6">
        <f t="shared" si="8"/>
        <v>0</v>
      </c>
      <c r="K49" s="7">
        <f t="shared" si="9"/>
        <v>3</v>
      </c>
      <c r="L49" t="s">
        <v>8</v>
      </c>
      <c r="M49">
        <v>0</v>
      </c>
      <c r="N49" t="s">
        <v>8</v>
      </c>
      <c r="O49" t="s">
        <v>8</v>
      </c>
      <c r="P49" t="s">
        <v>8</v>
      </c>
      <c r="Q49" t="s">
        <v>8</v>
      </c>
      <c r="R49" t="s">
        <v>8</v>
      </c>
      <c r="S49" t="s">
        <v>8</v>
      </c>
      <c r="T49" t="s">
        <v>8</v>
      </c>
      <c r="U49" t="s">
        <v>8</v>
      </c>
      <c r="V49" t="s">
        <v>8</v>
      </c>
      <c r="W49" t="s">
        <v>8</v>
      </c>
      <c r="X49" t="s">
        <v>8</v>
      </c>
      <c r="Y49" t="s">
        <v>7</v>
      </c>
      <c r="Z49" t="s">
        <v>8</v>
      </c>
      <c r="AA49" t="s">
        <v>8</v>
      </c>
      <c r="AB49">
        <v>8.1</v>
      </c>
      <c r="AC49">
        <v>24.7</v>
      </c>
    </row>
    <row r="50" spans="1:29" x14ac:dyDescent="0.25">
      <c r="A50">
        <v>49</v>
      </c>
      <c r="B50" t="s">
        <v>422</v>
      </c>
      <c r="C50" t="s">
        <v>6</v>
      </c>
      <c r="D50" s="4">
        <f t="shared" si="6"/>
        <v>14.45</v>
      </c>
      <c r="E50">
        <v>14.4</v>
      </c>
      <c r="F50">
        <v>28.8</v>
      </c>
      <c r="G50" s="3">
        <f t="shared" si="4"/>
        <v>2</v>
      </c>
      <c r="H50" s="6">
        <f t="shared" si="5"/>
        <v>1</v>
      </c>
      <c r="I50" s="6">
        <f t="shared" si="7"/>
        <v>0</v>
      </c>
      <c r="J50" s="6">
        <f t="shared" si="8"/>
        <v>0</v>
      </c>
      <c r="K50" s="7">
        <f t="shared" si="9"/>
        <v>2</v>
      </c>
      <c r="L50" t="s">
        <v>8</v>
      </c>
      <c r="M50" t="s">
        <v>8</v>
      </c>
      <c r="N50" t="s">
        <v>8</v>
      </c>
      <c r="O50" t="s">
        <v>8</v>
      </c>
      <c r="P50" t="s">
        <v>7</v>
      </c>
      <c r="Q50" t="s">
        <v>8</v>
      </c>
      <c r="R50" t="s">
        <v>8</v>
      </c>
      <c r="S50" t="s">
        <v>8</v>
      </c>
      <c r="T50" t="s">
        <v>8</v>
      </c>
      <c r="U50" t="s">
        <v>8</v>
      </c>
      <c r="V50" t="s">
        <v>8</v>
      </c>
      <c r="W50" t="s">
        <v>8</v>
      </c>
      <c r="X50" t="s">
        <v>8</v>
      </c>
      <c r="Y50" t="s">
        <v>8</v>
      </c>
      <c r="Z50" t="s">
        <v>8</v>
      </c>
      <c r="AA50" t="s">
        <v>8</v>
      </c>
      <c r="AB50">
        <v>10</v>
      </c>
      <c r="AC50">
        <v>18.899999999999999</v>
      </c>
    </row>
    <row r="51" spans="1:29" x14ac:dyDescent="0.25">
      <c r="A51">
        <v>50</v>
      </c>
      <c r="B51" t="s">
        <v>423</v>
      </c>
      <c r="C51" t="s">
        <v>69</v>
      </c>
      <c r="D51" s="4">
        <f t="shared" si="6"/>
        <v>0.3</v>
      </c>
      <c r="E51">
        <v>5.2</v>
      </c>
      <c r="F51">
        <v>26.1</v>
      </c>
      <c r="G51" s="3">
        <f t="shared" si="4"/>
        <v>2</v>
      </c>
      <c r="H51" s="6">
        <f t="shared" si="5"/>
        <v>1</v>
      </c>
      <c r="I51" s="6">
        <f t="shared" si="7"/>
        <v>0</v>
      </c>
      <c r="J51" s="6">
        <f t="shared" si="8"/>
        <v>0</v>
      </c>
      <c r="K51" s="7">
        <f t="shared" si="9"/>
        <v>5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  <c r="Q51" t="s">
        <v>8</v>
      </c>
      <c r="R51">
        <v>0</v>
      </c>
      <c r="S51" t="s">
        <v>8</v>
      </c>
      <c r="T51" t="s">
        <v>8</v>
      </c>
      <c r="U51">
        <v>0.3</v>
      </c>
      <c r="V51" t="s">
        <v>8</v>
      </c>
      <c r="W51">
        <v>-0.2</v>
      </c>
      <c r="X51" t="s">
        <v>8</v>
      </c>
      <c r="Y51" t="s">
        <v>8</v>
      </c>
      <c r="Z51" t="s">
        <v>8</v>
      </c>
      <c r="AA51">
        <v>10</v>
      </c>
      <c r="AB51">
        <v>16</v>
      </c>
      <c r="AC51" t="s">
        <v>8</v>
      </c>
    </row>
    <row r="52" spans="1:29" x14ac:dyDescent="0.25">
      <c r="A52">
        <v>51</v>
      </c>
      <c r="B52" t="s">
        <v>424</v>
      </c>
      <c r="C52" t="s">
        <v>30</v>
      </c>
      <c r="D52" s="4">
        <f t="shared" si="6"/>
        <v>4.3</v>
      </c>
      <c r="E52">
        <v>4.8</v>
      </c>
      <c r="F52">
        <v>23.9</v>
      </c>
      <c r="G52" s="3">
        <f t="shared" si="4"/>
        <v>1</v>
      </c>
      <c r="H52" s="6">
        <f t="shared" si="5"/>
        <v>0</v>
      </c>
      <c r="I52" s="6">
        <f t="shared" si="7"/>
        <v>0</v>
      </c>
      <c r="J52" s="6">
        <f t="shared" si="8"/>
        <v>0</v>
      </c>
      <c r="K52" s="7">
        <f t="shared" si="9"/>
        <v>5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8</v>
      </c>
      <c r="R52" t="s">
        <v>8</v>
      </c>
      <c r="S52" t="s">
        <v>8</v>
      </c>
      <c r="T52">
        <v>5.2</v>
      </c>
      <c r="U52" t="s">
        <v>8</v>
      </c>
      <c r="V52" t="s">
        <v>8</v>
      </c>
      <c r="W52">
        <v>0.9</v>
      </c>
      <c r="X52" t="s">
        <v>8</v>
      </c>
      <c r="Y52">
        <v>4.3</v>
      </c>
      <c r="Z52">
        <v>13.1</v>
      </c>
      <c r="AA52" t="s">
        <v>8</v>
      </c>
      <c r="AB52" t="s">
        <v>8</v>
      </c>
      <c r="AC52">
        <v>0.4</v>
      </c>
    </row>
    <row r="53" spans="1:29" x14ac:dyDescent="0.25">
      <c r="A53">
        <v>52</v>
      </c>
      <c r="B53" t="s">
        <v>425</v>
      </c>
      <c r="C53" t="s">
        <v>6</v>
      </c>
      <c r="D53" s="4">
        <f t="shared" si="6"/>
        <v>1.3</v>
      </c>
      <c r="E53">
        <v>3.1</v>
      </c>
      <c r="F53">
        <v>21.8</v>
      </c>
      <c r="G53" s="3">
        <f t="shared" si="4"/>
        <v>0</v>
      </c>
      <c r="H53" s="6">
        <f t="shared" si="5"/>
        <v>0</v>
      </c>
      <c r="I53" s="6">
        <f t="shared" si="7"/>
        <v>0</v>
      </c>
      <c r="J53" s="6">
        <f t="shared" si="8"/>
        <v>0</v>
      </c>
      <c r="K53" s="7">
        <f t="shared" si="9"/>
        <v>7</v>
      </c>
      <c r="L53" t="s">
        <v>8</v>
      </c>
      <c r="M53" t="s">
        <v>8</v>
      </c>
      <c r="N53" t="s">
        <v>8</v>
      </c>
      <c r="O53" t="s">
        <v>8</v>
      </c>
      <c r="P53" t="s">
        <v>7</v>
      </c>
      <c r="Q53" t="s">
        <v>8</v>
      </c>
      <c r="R53">
        <v>5.7</v>
      </c>
      <c r="S53" t="s">
        <v>8</v>
      </c>
      <c r="T53" t="s">
        <v>8</v>
      </c>
      <c r="U53" t="s">
        <v>8</v>
      </c>
      <c r="V53">
        <v>0</v>
      </c>
      <c r="W53">
        <v>0</v>
      </c>
      <c r="X53" t="s">
        <v>8</v>
      </c>
      <c r="Y53" t="s">
        <v>8</v>
      </c>
      <c r="Z53">
        <v>1.3</v>
      </c>
      <c r="AA53">
        <v>9.1999999999999993</v>
      </c>
      <c r="AB53">
        <v>4.8</v>
      </c>
      <c r="AC53">
        <v>0.8</v>
      </c>
    </row>
    <row r="54" spans="1:29" x14ac:dyDescent="0.25">
      <c r="A54">
        <v>53</v>
      </c>
      <c r="B54" t="s">
        <v>426</v>
      </c>
      <c r="C54" t="s">
        <v>20</v>
      </c>
      <c r="D54" s="4">
        <f t="shared" si="6"/>
        <v>20.9</v>
      </c>
      <c r="E54">
        <v>20.9</v>
      </c>
      <c r="F54">
        <v>20.9</v>
      </c>
      <c r="G54" s="3">
        <f t="shared" si="4"/>
        <v>1</v>
      </c>
      <c r="H54" s="6">
        <f t="shared" si="5"/>
        <v>1</v>
      </c>
      <c r="I54" s="6">
        <f t="shared" si="7"/>
        <v>1</v>
      </c>
      <c r="J54" s="6">
        <f t="shared" si="8"/>
        <v>0</v>
      </c>
      <c r="K54" s="7">
        <f t="shared" si="9"/>
        <v>1</v>
      </c>
      <c r="L54" t="s">
        <v>8</v>
      </c>
      <c r="M54" t="s">
        <v>8</v>
      </c>
      <c r="N54" t="s">
        <v>8</v>
      </c>
      <c r="O54" t="s">
        <v>8</v>
      </c>
      <c r="P54" t="s">
        <v>8</v>
      </c>
      <c r="Q54" t="s">
        <v>7</v>
      </c>
      <c r="R54" t="s">
        <v>8</v>
      </c>
      <c r="S54" t="s">
        <v>8</v>
      </c>
      <c r="T54" t="s">
        <v>8</v>
      </c>
      <c r="U54" t="s">
        <v>8</v>
      </c>
      <c r="V54" t="s">
        <v>8</v>
      </c>
      <c r="W54" t="s">
        <v>8</v>
      </c>
      <c r="X54" t="s">
        <v>8</v>
      </c>
      <c r="Y54" t="s">
        <v>8</v>
      </c>
      <c r="Z54" t="s">
        <v>8</v>
      </c>
      <c r="AA54" t="s">
        <v>8</v>
      </c>
      <c r="AB54" t="s">
        <v>8</v>
      </c>
      <c r="AC54">
        <v>20.9</v>
      </c>
    </row>
    <row r="55" spans="1:29" x14ac:dyDescent="0.25">
      <c r="A55">
        <v>54</v>
      </c>
      <c r="B55" t="s">
        <v>427</v>
      </c>
      <c r="C55" t="s">
        <v>40</v>
      </c>
      <c r="D55" s="4">
        <f t="shared" si="6"/>
        <v>10</v>
      </c>
      <c r="E55">
        <v>10</v>
      </c>
      <c r="F55">
        <v>20.100000000000001</v>
      </c>
      <c r="G55" s="3">
        <f t="shared" si="4"/>
        <v>1</v>
      </c>
      <c r="H55" s="6">
        <f t="shared" si="5"/>
        <v>0</v>
      </c>
      <c r="I55" s="6">
        <f t="shared" si="7"/>
        <v>0</v>
      </c>
      <c r="J55" s="6">
        <f t="shared" si="8"/>
        <v>0</v>
      </c>
      <c r="K55" s="7">
        <f t="shared" si="9"/>
        <v>2</v>
      </c>
      <c r="L55">
        <v>6.1</v>
      </c>
      <c r="M55" t="s">
        <v>8</v>
      </c>
      <c r="N55" t="s">
        <v>8</v>
      </c>
      <c r="O55" t="s">
        <v>8</v>
      </c>
      <c r="P55" t="s">
        <v>8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 t="s">
        <v>7</v>
      </c>
      <c r="X55" t="s">
        <v>8</v>
      </c>
      <c r="Y55" t="s">
        <v>8</v>
      </c>
      <c r="Z55" t="s">
        <v>8</v>
      </c>
      <c r="AA55" t="s">
        <v>8</v>
      </c>
      <c r="AB55">
        <v>13.9</v>
      </c>
      <c r="AC55" t="s">
        <v>8</v>
      </c>
    </row>
    <row r="56" spans="1:29" x14ac:dyDescent="0.25">
      <c r="A56">
        <v>55</v>
      </c>
      <c r="B56" t="s">
        <v>428</v>
      </c>
      <c r="C56" t="s">
        <v>64</v>
      </c>
      <c r="D56" s="4">
        <f t="shared" si="6"/>
        <v>19.2</v>
      </c>
      <c r="E56">
        <v>19.2</v>
      </c>
      <c r="F56">
        <v>19.2</v>
      </c>
      <c r="G56" s="3">
        <f t="shared" si="4"/>
        <v>1</v>
      </c>
      <c r="H56" s="6">
        <f t="shared" si="5"/>
        <v>1</v>
      </c>
      <c r="I56" s="6">
        <f t="shared" si="7"/>
        <v>0</v>
      </c>
      <c r="J56" s="6">
        <f t="shared" si="8"/>
        <v>0</v>
      </c>
      <c r="K56" s="7">
        <f t="shared" si="9"/>
        <v>1</v>
      </c>
      <c r="L56" t="s">
        <v>8</v>
      </c>
      <c r="M56" t="s">
        <v>8</v>
      </c>
      <c r="N56" t="s">
        <v>8</v>
      </c>
      <c r="O56" t="s">
        <v>8</v>
      </c>
      <c r="P56" t="s">
        <v>8</v>
      </c>
      <c r="Q56" t="s">
        <v>8</v>
      </c>
      <c r="R56" t="s">
        <v>7</v>
      </c>
      <c r="S56" t="s">
        <v>8</v>
      </c>
      <c r="T56" t="s">
        <v>8</v>
      </c>
      <c r="U56" t="s">
        <v>8</v>
      </c>
      <c r="V56" t="s">
        <v>8</v>
      </c>
      <c r="W56" t="s">
        <v>8</v>
      </c>
      <c r="X56" t="s">
        <v>8</v>
      </c>
      <c r="Y56" t="s">
        <v>8</v>
      </c>
      <c r="Z56" t="s">
        <v>8</v>
      </c>
      <c r="AA56" t="s">
        <v>8</v>
      </c>
      <c r="AB56" t="s">
        <v>8</v>
      </c>
      <c r="AC56">
        <v>19.2</v>
      </c>
    </row>
    <row r="57" spans="1:29" x14ac:dyDescent="0.25">
      <c r="A57">
        <v>56</v>
      </c>
      <c r="B57" t="s">
        <v>429</v>
      </c>
      <c r="C57" t="s">
        <v>22</v>
      </c>
      <c r="D57" s="4">
        <f t="shared" si="6"/>
        <v>0</v>
      </c>
      <c r="E57">
        <v>1.7</v>
      </c>
      <c r="F57">
        <v>15.3</v>
      </c>
      <c r="G57" s="3">
        <f t="shared" si="4"/>
        <v>0</v>
      </c>
      <c r="H57" s="6">
        <f t="shared" si="5"/>
        <v>0</v>
      </c>
      <c r="I57" s="6">
        <f t="shared" si="7"/>
        <v>0</v>
      </c>
      <c r="J57" s="6">
        <f t="shared" si="8"/>
        <v>0</v>
      </c>
      <c r="K57" s="7">
        <f t="shared" si="9"/>
        <v>9</v>
      </c>
      <c r="L57" t="s">
        <v>8</v>
      </c>
      <c r="M57">
        <v>-0.2</v>
      </c>
      <c r="N57">
        <v>0</v>
      </c>
      <c r="O57">
        <v>0.1</v>
      </c>
      <c r="P57">
        <v>0</v>
      </c>
      <c r="Q57" t="s">
        <v>8</v>
      </c>
      <c r="R57" t="s">
        <v>8</v>
      </c>
      <c r="S57">
        <v>-0.3</v>
      </c>
      <c r="T57" t="s">
        <v>8</v>
      </c>
      <c r="U57">
        <v>-0.1</v>
      </c>
      <c r="V57" t="s">
        <v>8</v>
      </c>
      <c r="W57" t="s">
        <v>7</v>
      </c>
      <c r="X57">
        <v>-0.1</v>
      </c>
      <c r="Y57" t="s">
        <v>8</v>
      </c>
      <c r="Z57" t="s">
        <v>8</v>
      </c>
      <c r="AA57" t="s">
        <v>8</v>
      </c>
      <c r="AB57">
        <v>6.7</v>
      </c>
      <c r="AC57">
        <v>9.1999999999999993</v>
      </c>
    </row>
    <row r="58" spans="1:29" x14ac:dyDescent="0.25">
      <c r="A58">
        <v>57</v>
      </c>
      <c r="B58" t="s">
        <v>430</v>
      </c>
      <c r="C58" t="s">
        <v>47</v>
      </c>
      <c r="D58" s="4">
        <f t="shared" si="6"/>
        <v>3.8</v>
      </c>
      <c r="E58">
        <v>5</v>
      </c>
      <c r="F58">
        <v>14.9</v>
      </c>
      <c r="G58" s="3">
        <f t="shared" si="4"/>
        <v>0</v>
      </c>
      <c r="H58" s="6">
        <f t="shared" si="5"/>
        <v>0</v>
      </c>
      <c r="I58" s="6">
        <f t="shared" si="7"/>
        <v>0</v>
      </c>
      <c r="J58" s="6">
        <f t="shared" si="8"/>
        <v>0</v>
      </c>
      <c r="K58" s="7">
        <f t="shared" si="9"/>
        <v>3</v>
      </c>
      <c r="L58" t="s">
        <v>8</v>
      </c>
      <c r="M58" t="s">
        <v>8</v>
      </c>
      <c r="N58">
        <v>3.8</v>
      </c>
      <c r="O58" t="s">
        <v>8</v>
      </c>
      <c r="P58" t="s">
        <v>7</v>
      </c>
      <c r="Q58" t="s">
        <v>8</v>
      </c>
      <c r="R58">
        <v>3.4</v>
      </c>
      <c r="S58" t="s">
        <v>8</v>
      </c>
      <c r="T58" t="s">
        <v>8</v>
      </c>
      <c r="U58" t="s">
        <v>8</v>
      </c>
      <c r="V58" t="s">
        <v>8</v>
      </c>
      <c r="W58" t="s">
        <v>8</v>
      </c>
      <c r="X58" t="s">
        <v>8</v>
      </c>
      <c r="Y58" t="s">
        <v>8</v>
      </c>
      <c r="Z58">
        <v>7.8</v>
      </c>
      <c r="AA58" t="s">
        <v>8</v>
      </c>
      <c r="AB58" t="s">
        <v>8</v>
      </c>
      <c r="AC58" t="s">
        <v>8</v>
      </c>
    </row>
    <row r="59" spans="1:29" x14ac:dyDescent="0.25">
      <c r="A59">
        <v>58</v>
      </c>
      <c r="B59" t="s">
        <v>431</v>
      </c>
      <c r="C59" t="s">
        <v>26</v>
      </c>
      <c r="D59" s="4">
        <f t="shared" si="6"/>
        <v>0.85</v>
      </c>
      <c r="E59">
        <v>1.8</v>
      </c>
      <c r="F59">
        <v>14.2</v>
      </c>
      <c r="G59" s="3">
        <f t="shared" si="4"/>
        <v>0</v>
      </c>
      <c r="H59" s="6">
        <f t="shared" si="5"/>
        <v>0</v>
      </c>
      <c r="I59" s="6">
        <f t="shared" si="7"/>
        <v>0</v>
      </c>
      <c r="J59" s="6">
        <f t="shared" si="8"/>
        <v>0</v>
      </c>
      <c r="K59" s="7">
        <f t="shared" si="9"/>
        <v>8</v>
      </c>
      <c r="L59">
        <v>0</v>
      </c>
      <c r="M59">
        <v>-0.3</v>
      </c>
      <c r="N59" t="s">
        <v>8</v>
      </c>
      <c r="O59" t="s">
        <v>8</v>
      </c>
      <c r="P59">
        <v>1.8</v>
      </c>
      <c r="Q59" t="s">
        <v>8</v>
      </c>
      <c r="R59">
        <v>5.5</v>
      </c>
      <c r="S59">
        <v>5.9</v>
      </c>
      <c r="T59" t="s">
        <v>8</v>
      </c>
      <c r="U59" t="s">
        <v>8</v>
      </c>
      <c r="V59">
        <v>-0.2</v>
      </c>
      <c r="W59" t="s">
        <v>7</v>
      </c>
      <c r="X59" t="s">
        <v>8</v>
      </c>
      <c r="Y59">
        <v>-0.1</v>
      </c>
      <c r="Z59">
        <v>1.7</v>
      </c>
      <c r="AA59" t="s">
        <v>8</v>
      </c>
      <c r="AB59" t="s">
        <v>8</v>
      </c>
      <c r="AC59" t="s">
        <v>8</v>
      </c>
    </row>
    <row r="60" spans="1:29" x14ac:dyDescent="0.25">
      <c r="A60">
        <v>59</v>
      </c>
      <c r="B60" t="s">
        <v>432</v>
      </c>
      <c r="C60" t="s">
        <v>45</v>
      </c>
      <c r="D60" s="4">
        <f t="shared" si="6"/>
        <v>0.79999999999999993</v>
      </c>
      <c r="E60">
        <v>3.4</v>
      </c>
      <c r="F60">
        <v>13.7</v>
      </c>
      <c r="G60" s="3">
        <f t="shared" si="4"/>
        <v>1</v>
      </c>
      <c r="H60" s="6">
        <f t="shared" si="5"/>
        <v>0</v>
      </c>
      <c r="I60" s="6">
        <f t="shared" si="7"/>
        <v>0</v>
      </c>
      <c r="J60" s="6">
        <f t="shared" si="8"/>
        <v>0</v>
      </c>
      <c r="K60" s="7">
        <f t="shared" si="9"/>
        <v>4</v>
      </c>
      <c r="L60" t="s">
        <v>8</v>
      </c>
      <c r="M60" t="s">
        <v>8</v>
      </c>
      <c r="N60" t="s">
        <v>8</v>
      </c>
      <c r="O60" t="s">
        <v>8</v>
      </c>
      <c r="P60" t="s">
        <v>7</v>
      </c>
      <c r="Q60" t="s">
        <v>8</v>
      </c>
      <c r="R60" t="s">
        <v>8</v>
      </c>
      <c r="S60" t="s">
        <v>8</v>
      </c>
      <c r="T60" t="s">
        <v>8</v>
      </c>
      <c r="U60">
        <v>1.5</v>
      </c>
      <c r="V60" t="s">
        <v>8</v>
      </c>
      <c r="W60">
        <v>-0.3</v>
      </c>
      <c r="X60" t="s">
        <v>8</v>
      </c>
      <c r="Y60" t="s">
        <v>8</v>
      </c>
      <c r="Z60" t="s">
        <v>8</v>
      </c>
      <c r="AA60" t="s">
        <v>8</v>
      </c>
      <c r="AB60">
        <v>0.1</v>
      </c>
      <c r="AC60">
        <v>12.4</v>
      </c>
    </row>
    <row r="61" spans="1:29" x14ac:dyDescent="0.25">
      <c r="A61">
        <v>60</v>
      </c>
      <c r="B61" t="s">
        <v>433</v>
      </c>
      <c r="C61" t="s">
        <v>55</v>
      </c>
      <c r="D61" s="4">
        <f t="shared" si="6"/>
        <v>2.7</v>
      </c>
      <c r="E61">
        <v>4.5</v>
      </c>
      <c r="F61">
        <v>13.5</v>
      </c>
      <c r="G61" s="3">
        <f t="shared" si="4"/>
        <v>1</v>
      </c>
      <c r="H61" s="6">
        <f t="shared" si="5"/>
        <v>0</v>
      </c>
      <c r="I61" s="6">
        <f t="shared" si="7"/>
        <v>0</v>
      </c>
      <c r="J61" s="6">
        <f t="shared" si="8"/>
        <v>0</v>
      </c>
      <c r="K61" s="7">
        <f t="shared" si="9"/>
        <v>3</v>
      </c>
      <c r="L61" t="s">
        <v>8</v>
      </c>
      <c r="M61" t="s">
        <v>8</v>
      </c>
      <c r="N61" t="s">
        <v>8</v>
      </c>
      <c r="O61" t="s">
        <v>8</v>
      </c>
      <c r="P61" t="s">
        <v>8</v>
      </c>
      <c r="Q61" t="s">
        <v>8</v>
      </c>
      <c r="R61" t="s">
        <v>8</v>
      </c>
      <c r="S61" t="s">
        <v>8</v>
      </c>
      <c r="T61" t="s">
        <v>8</v>
      </c>
      <c r="U61" t="s">
        <v>8</v>
      </c>
      <c r="V61" t="s">
        <v>7</v>
      </c>
      <c r="W61">
        <v>10.8</v>
      </c>
      <c r="X61" t="s">
        <v>8</v>
      </c>
      <c r="Y61">
        <v>0</v>
      </c>
      <c r="Z61">
        <v>2.7</v>
      </c>
      <c r="AA61" t="s">
        <v>8</v>
      </c>
      <c r="AB61" t="s">
        <v>8</v>
      </c>
      <c r="AC61" t="s">
        <v>8</v>
      </c>
    </row>
    <row r="62" spans="1:29" x14ac:dyDescent="0.25">
      <c r="A62">
        <v>61</v>
      </c>
      <c r="B62" t="s">
        <v>434</v>
      </c>
      <c r="C62" t="s">
        <v>32</v>
      </c>
      <c r="D62" s="4">
        <f t="shared" si="6"/>
        <v>1.7</v>
      </c>
      <c r="E62">
        <v>2.4</v>
      </c>
      <c r="F62">
        <v>9.6</v>
      </c>
      <c r="G62" s="3">
        <f t="shared" si="4"/>
        <v>0</v>
      </c>
      <c r="H62" s="6">
        <f t="shared" si="5"/>
        <v>0</v>
      </c>
      <c r="I62" s="6">
        <f t="shared" si="7"/>
        <v>0</v>
      </c>
      <c r="J62" s="6">
        <f t="shared" si="8"/>
        <v>0</v>
      </c>
      <c r="K62" s="7">
        <f t="shared" si="9"/>
        <v>4</v>
      </c>
      <c r="L62" t="s">
        <v>8</v>
      </c>
      <c r="M62" t="s">
        <v>8</v>
      </c>
      <c r="N62">
        <v>3.2</v>
      </c>
      <c r="O62" t="s">
        <v>8</v>
      </c>
      <c r="P62" t="s">
        <v>8</v>
      </c>
      <c r="Q62">
        <v>0</v>
      </c>
      <c r="R62" t="s">
        <v>8</v>
      </c>
      <c r="S62" t="s">
        <v>8</v>
      </c>
      <c r="T62" t="s">
        <v>8</v>
      </c>
      <c r="U62" t="s">
        <v>8</v>
      </c>
      <c r="V62" t="s">
        <v>8</v>
      </c>
      <c r="W62" t="s">
        <v>8</v>
      </c>
      <c r="X62" t="s">
        <v>8</v>
      </c>
      <c r="Y62" t="s">
        <v>7</v>
      </c>
      <c r="Z62" t="s">
        <v>8</v>
      </c>
      <c r="AA62" t="s">
        <v>8</v>
      </c>
      <c r="AB62">
        <v>0.2</v>
      </c>
      <c r="AC62">
        <v>6.2</v>
      </c>
    </row>
    <row r="63" spans="1:29" x14ac:dyDescent="0.25">
      <c r="A63">
        <v>62</v>
      </c>
      <c r="B63" t="s">
        <v>435</v>
      </c>
      <c r="C63" t="s">
        <v>62</v>
      </c>
      <c r="D63" s="4">
        <f t="shared" si="6"/>
        <v>9</v>
      </c>
      <c r="E63">
        <v>9</v>
      </c>
      <c r="F63">
        <v>9</v>
      </c>
      <c r="G63" s="3">
        <f t="shared" si="4"/>
        <v>0</v>
      </c>
      <c r="H63" s="6">
        <f t="shared" si="5"/>
        <v>0</v>
      </c>
      <c r="I63" s="6">
        <f t="shared" si="7"/>
        <v>0</v>
      </c>
      <c r="J63" s="6">
        <f t="shared" si="8"/>
        <v>0</v>
      </c>
      <c r="K63" s="7">
        <f t="shared" si="9"/>
        <v>1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  <c r="Q63" t="s">
        <v>7</v>
      </c>
      <c r="R63" t="s">
        <v>8</v>
      </c>
      <c r="S63" t="s">
        <v>8</v>
      </c>
      <c r="T63" t="s">
        <v>8</v>
      </c>
      <c r="U63" t="s">
        <v>8</v>
      </c>
      <c r="V63" t="s">
        <v>8</v>
      </c>
      <c r="W63" t="s">
        <v>8</v>
      </c>
      <c r="X63" t="s">
        <v>8</v>
      </c>
      <c r="Y63" t="s">
        <v>8</v>
      </c>
      <c r="Z63" t="s">
        <v>8</v>
      </c>
      <c r="AA63" t="s">
        <v>8</v>
      </c>
      <c r="AB63" t="s">
        <v>8</v>
      </c>
      <c r="AC63">
        <v>9</v>
      </c>
    </row>
    <row r="64" spans="1:29" x14ac:dyDescent="0.25">
      <c r="A64">
        <v>63</v>
      </c>
      <c r="B64" t="s">
        <v>436</v>
      </c>
      <c r="C64" t="s">
        <v>47</v>
      </c>
      <c r="D64" s="4">
        <f t="shared" si="6"/>
        <v>-0.1</v>
      </c>
      <c r="E64">
        <v>2.8</v>
      </c>
      <c r="F64">
        <v>8.4</v>
      </c>
      <c r="G64" s="3">
        <f t="shared" si="4"/>
        <v>0</v>
      </c>
      <c r="H64" s="6">
        <f t="shared" si="5"/>
        <v>0</v>
      </c>
      <c r="I64" s="6">
        <f t="shared" si="7"/>
        <v>0</v>
      </c>
      <c r="J64" s="6">
        <f t="shared" si="8"/>
        <v>0</v>
      </c>
      <c r="K64" s="7">
        <f t="shared" si="9"/>
        <v>3</v>
      </c>
      <c r="L64">
        <v>-0.1</v>
      </c>
      <c r="M64" t="s">
        <v>8</v>
      </c>
      <c r="N64" t="s">
        <v>8</v>
      </c>
      <c r="O64" t="s">
        <v>8</v>
      </c>
      <c r="P64" t="s">
        <v>7</v>
      </c>
      <c r="Q64" t="s">
        <v>8</v>
      </c>
      <c r="R64" t="s">
        <v>8</v>
      </c>
      <c r="S64" t="s">
        <v>8</v>
      </c>
      <c r="T64" t="s">
        <v>8</v>
      </c>
      <c r="U64" t="s">
        <v>8</v>
      </c>
      <c r="V64" t="s">
        <v>8</v>
      </c>
      <c r="W64">
        <v>9.5</v>
      </c>
      <c r="X64" t="s">
        <v>8</v>
      </c>
      <c r="Y64">
        <v>-1</v>
      </c>
      <c r="Z64" t="s">
        <v>8</v>
      </c>
      <c r="AA64" t="s">
        <v>8</v>
      </c>
      <c r="AB64" t="s">
        <v>8</v>
      </c>
      <c r="AC64" t="s">
        <v>8</v>
      </c>
    </row>
    <row r="65" spans="1:31" x14ac:dyDescent="0.25">
      <c r="A65">
        <v>64</v>
      </c>
      <c r="B65" t="s">
        <v>437</v>
      </c>
      <c r="C65" t="s">
        <v>78</v>
      </c>
      <c r="D65" s="4">
        <f t="shared" si="6"/>
        <v>3.6</v>
      </c>
      <c r="E65">
        <v>2.6</v>
      </c>
      <c r="F65">
        <v>7.9</v>
      </c>
      <c r="G65" s="3">
        <f t="shared" si="4"/>
        <v>0</v>
      </c>
      <c r="H65" s="6">
        <f t="shared" si="5"/>
        <v>0</v>
      </c>
      <c r="I65" s="6">
        <f t="shared" si="7"/>
        <v>0</v>
      </c>
      <c r="J65" s="6">
        <f t="shared" si="8"/>
        <v>0</v>
      </c>
      <c r="K65" s="7">
        <f t="shared" si="9"/>
        <v>3</v>
      </c>
      <c r="L65" t="s">
        <v>8</v>
      </c>
      <c r="M65">
        <v>3.6</v>
      </c>
      <c r="N65">
        <v>4.3</v>
      </c>
      <c r="O65" t="s">
        <v>8</v>
      </c>
      <c r="P65" t="s">
        <v>8</v>
      </c>
      <c r="Q65" t="s">
        <v>8</v>
      </c>
      <c r="R65" t="s">
        <v>8</v>
      </c>
      <c r="S65" t="s">
        <v>8</v>
      </c>
      <c r="T65" t="s">
        <v>7</v>
      </c>
      <c r="U65" t="s">
        <v>8</v>
      </c>
      <c r="V65" t="s">
        <v>8</v>
      </c>
      <c r="W65">
        <v>0</v>
      </c>
      <c r="X65" t="s">
        <v>8</v>
      </c>
      <c r="Y65" t="s">
        <v>8</v>
      </c>
      <c r="Z65" t="s">
        <v>8</v>
      </c>
      <c r="AA65" t="s">
        <v>8</v>
      </c>
      <c r="AB65" t="s">
        <v>8</v>
      </c>
      <c r="AC65" t="s">
        <v>8</v>
      </c>
    </row>
    <row r="66" spans="1:31" x14ac:dyDescent="0.25">
      <c r="A66">
        <v>65</v>
      </c>
      <c r="B66" t="s">
        <v>438</v>
      </c>
      <c r="C66" t="s">
        <v>90</v>
      </c>
      <c r="D66" s="4">
        <f t="shared" ref="D66:D89" si="10">MEDIAN(L66:AC66)</f>
        <v>0.8</v>
      </c>
      <c r="E66">
        <v>1.6</v>
      </c>
      <c r="F66">
        <v>4.7</v>
      </c>
      <c r="G66" s="3">
        <f t="shared" si="4"/>
        <v>0</v>
      </c>
      <c r="H66" s="6">
        <f t="shared" si="5"/>
        <v>0</v>
      </c>
      <c r="I66" s="6">
        <f t="shared" ref="I66:I89" si="11">COUNTIFS(L66:AC66,"&gt;=20",L66:AC66,"&lt;=99")</f>
        <v>0</v>
      </c>
      <c r="J66" s="6">
        <f t="shared" ref="J66:J89" si="12">COUNTIFS(L66:AC66,"&gt;=30",L66:AC66,"&lt;=99")</f>
        <v>0</v>
      </c>
      <c r="K66" s="7">
        <f t="shared" ref="K66:K89" si="13">COUNT(L66:AC66)</f>
        <v>3</v>
      </c>
      <c r="L66" t="s">
        <v>8</v>
      </c>
      <c r="M66" t="s">
        <v>8</v>
      </c>
      <c r="N66" t="s">
        <v>8</v>
      </c>
      <c r="O66" t="s">
        <v>8</v>
      </c>
      <c r="P66" t="s">
        <v>8</v>
      </c>
      <c r="Q66" t="s">
        <v>8</v>
      </c>
      <c r="R66">
        <v>0</v>
      </c>
      <c r="S66" t="s">
        <v>8</v>
      </c>
      <c r="T66" t="s">
        <v>8</v>
      </c>
      <c r="U66" t="s">
        <v>8</v>
      </c>
      <c r="V66" t="s">
        <v>8</v>
      </c>
      <c r="W66" t="s">
        <v>8</v>
      </c>
      <c r="X66" t="s">
        <v>8</v>
      </c>
      <c r="Y66" t="s">
        <v>8</v>
      </c>
      <c r="Z66">
        <v>0.8</v>
      </c>
      <c r="AA66" t="s">
        <v>8</v>
      </c>
      <c r="AB66" t="s">
        <v>8</v>
      </c>
      <c r="AC66">
        <v>3.9</v>
      </c>
    </row>
    <row r="67" spans="1:31" x14ac:dyDescent="0.25">
      <c r="A67">
        <v>66</v>
      </c>
      <c r="B67" t="s">
        <v>439</v>
      </c>
      <c r="C67" t="s">
        <v>45</v>
      </c>
      <c r="D67" s="4">
        <f t="shared" si="10"/>
        <v>0.9</v>
      </c>
      <c r="E67">
        <v>0.8</v>
      </c>
      <c r="F67">
        <v>3.1</v>
      </c>
      <c r="G67" s="3">
        <f t="shared" ref="G67:G89" si="14">COUNTIFS(L67:AC67,"&gt;=10",L67:AC67,"&lt;=99")</f>
        <v>0</v>
      </c>
      <c r="H67" s="6">
        <f t="shared" si="5"/>
        <v>0</v>
      </c>
      <c r="I67" s="6">
        <f t="shared" si="11"/>
        <v>0</v>
      </c>
      <c r="J67" s="6">
        <f t="shared" si="12"/>
        <v>0</v>
      </c>
      <c r="K67" s="7">
        <f t="shared" si="13"/>
        <v>4</v>
      </c>
      <c r="L67" t="s">
        <v>8</v>
      </c>
      <c r="M67" t="s">
        <v>8</v>
      </c>
      <c r="N67">
        <v>1</v>
      </c>
      <c r="O67" t="s">
        <v>8</v>
      </c>
      <c r="P67" t="s">
        <v>7</v>
      </c>
      <c r="Q67" t="s">
        <v>8</v>
      </c>
      <c r="R67" t="s">
        <v>8</v>
      </c>
      <c r="S67" t="s">
        <v>8</v>
      </c>
      <c r="T67" t="s">
        <v>8</v>
      </c>
      <c r="U67" t="s">
        <v>8</v>
      </c>
      <c r="V67" t="s">
        <v>8</v>
      </c>
      <c r="W67" t="s">
        <v>8</v>
      </c>
      <c r="X67" t="s">
        <v>8</v>
      </c>
      <c r="Y67">
        <v>1.2</v>
      </c>
      <c r="Z67">
        <v>0.2</v>
      </c>
      <c r="AA67" t="s">
        <v>8</v>
      </c>
      <c r="AB67">
        <v>0.8</v>
      </c>
      <c r="AC67" t="s">
        <v>8</v>
      </c>
    </row>
    <row r="68" spans="1:31" x14ac:dyDescent="0.25">
      <c r="A68">
        <v>67</v>
      </c>
      <c r="B68" t="s">
        <v>440</v>
      </c>
      <c r="C68" t="s">
        <v>10</v>
      </c>
      <c r="D68" s="4">
        <f t="shared" si="10"/>
        <v>0.7</v>
      </c>
      <c r="E68">
        <v>0.9</v>
      </c>
      <c r="F68">
        <v>2.7</v>
      </c>
      <c r="G68" s="3">
        <f t="shared" si="14"/>
        <v>0</v>
      </c>
      <c r="H68" s="6">
        <f t="shared" ref="H68:H131" si="15">COUNTIFS(L68:AC68,"&gt;=15",L68:AC68,"&lt;=99")</f>
        <v>0</v>
      </c>
      <c r="I68" s="6">
        <f t="shared" si="11"/>
        <v>0</v>
      </c>
      <c r="J68" s="6">
        <f t="shared" si="12"/>
        <v>0</v>
      </c>
      <c r="K68" s="7">
        <f t="shared" si="13"/>
        <v>3</v>
      </c>
      <c r="L68" t="s">
        <v>8</v>
      </c>
      <c r="M68" t="s">
        <v>8</v>
      </c>
      <c r="N68" t="s">
        <v>8</v>
      </c>
      <c r="O68" t="s">
        <v>8</v>
      </c>
      <c r="P68" t="s">
        <v>7</v>
      </c>
      <c r="Q68">
        <v>0.7</v>
      </c>
      <c r="R68" t="s">
        <v>8</v>
      </c>
      <c r="S68">
        <v>0.2</v>
      </c>
      <c r="T68" t="s">
        <v>8</v>
      </c>
      <c r="U68" t="s">
        <v>8</v>
      </c>
      <c r="V68">
        <v>1.8</v>
      </c>
      <c r="W68" t="s">
        <v>8</v>
      </c>
      <c r="X68" t="s">
        <v>8</v>
      </c>
      <c r="Y68" t="s">
        <v>8</v>
      </c>
      <c r="Z68" t="s">
        <v>8</v>
      </c>
      <c r="AA68" t="s">
        <v>8</v>
      </c>
      <c r="AB68" t="s">
        <v>8</v>
      </c>
      <c r="AC68" t="s">
        <v>8</v>
      </c>
    </row>
    <row r="69" spans="1:31" x14ac:dyDescent="0.25">
      <c r="A69">
        <v>68</v>
      </c>
      <c r="B69" t="s">
        <v>441</v>
      </c>
      <c r="C69" t="s">
        <v>66</v>
      </c>
      <c r="D69" s="4">
        <f t="shared" si="10"/>
        <v>0.3</v>
      </c>
      <c r="E69">
        <v>0.3</v>
      </c>
      <c r="F69">
        <v>1.3</v>
      </c>
      <c r="G69" s="3">
        <f t="shared" si="14"/>
        <v>0</v>
      </c>
      <c r="H69" s="6">
        <f t="shared" si="15"/>
        <v>0</v>
      </c>
      <c r="I69" s="6">
        <f t="shared" si="11"/>
        <v>0</v>
      </c>
      <c r="J69" s="6">
        <f t="shared" si="12"/>
        <v>0</v>
      </c>
      <c r="K69" s="7">
        <f t="shared" si="13"/>
        <v>4</v>
      </c>
      <c r="L69" t="s">
        <v>8</v>
      </c>
      <c r="M69" t="s">
        <v>8</v>
      </c>
      <c r="N69">
        <v>0</v>
      </c>
      <c r="O69" t="s">
        <v>8</v>
      </c>
      <c r="P69">
        <v>1</v>
      </c>
      <c r="Q69" t="s">
        <v>8</v>
      </c>
      <c r="R69" t="s">
        <v>8</v>
      </c>
      <c r="S69" t="s">
        <v>8</v>
      </c>
      <c r="T69" t="s">
        <v>8</v>
      </c>
      <c r="U69" t="s">
        <v>8</v>
      </c>
      <c r="V69" t="s">
        <v>8</v>
      </c>
      <c r="W69">
        <v>0.6</v>
      </c>
      <c r="X69" t="s">
        <v>8</v>
      </c>
      <c r="Y69">
        <v>-0.2</v>
      </c>
      <c r="Z69" t="s">
        <v>8</v>
      </c>
      <c r="AA69" t="s">
        <v>8</v>
      </c>
      <c r="AB69" t="s">
        <v>8</v>
      </c>
      <c r="AC69" t="s">
        <v>8</v>
      </c>
    </row>
    <row r="70" spans="1:31" x14ac:dyDescent="0.25">
      <c r="A70">
        <v>69</v>
      </c>
      <c r="B70" t="s">
        <v>442</v>
      </c>
      <c r="C70" t="s">
        <v>14</v>
      </c>
      <c r="D70" s="4">
        <f t="shared" si="10"/>
        <v>0</v>
      </c>
      <c r="E70">
        <v>0.1</v>
      </c>
      <c r="F70">
        <v>1.2</v>
      </c>
      <c r="G70" s="3">
        <f t="shared" si="14"/>
        <v>0</v>
      </c>
      <c r="H70" s="6">
        <f t="shared" si="15"/>
        <v>0</v>
      </c>
      <c r="I70" s="6">
        <f t="shared" si="11"/>
        <v>0</v>
      </c>
      <c r="J70" s="6">
        <f t="shared" si="12"/>
        <v>0</v>
      </c>
      <c r="K70" s="7">
        <f t="shared" si="13"/>
        <v>15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8</v>
      </c>
      <c r="T70" t="s">
        <v>8</v>
      </c>
      <c r="U70">
        <v>0</v>
      </c>
      <c r="V70" t="s">
        <v>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1.2</v>
      </c>
      <c r="AE70" s="3">
        <f>MEDIAN(L51:AC95)</f>
        <v>0</v>
      </c>
    </row>
    <row r="71" spans="1:31" x14ac:dyDescent="0.25">
      <c r="A71">
        <v>70</v>
      </c>
      <c r="B71" t="s">
        <v>443</v>
      </c>
      <c r="C71" t="s">
        <v>22</v>
      </c>
      <c r="D71" s="4">
        <f t="shared" si="10"/>
        <v>1.1000000000000001</v>
      </c>
      <c r="E71">
        <v>1.1000000000000001</v>
      </c>
      <c r="F71">
        <v>1.1000000000000001</v>
      </c>
      <c r="G71" s="3">
        <f t="shared" si="14"/>
        <v>0</v>
      </c>
      <c r="H71" s="6">
        <f t="shared" si="15"/>
        <v>0</v>
      </c>
      <c r="I71" s="6">
        <f t="shared" si="11"/>
        <v>0</v>
      </c>
      <c r="J71" s="6">
        <f t="shared" si="12"/>
        <v>0</v>
      </c>
      <c r="K71" s="7">
        <f t="shared" si="13"/>
        <v>1</v>
      </c>
      <c r="L71" t="s">
        <v>8</v>
      </c>
      <c r="M71" t="s">
        <v>8</v>
      </c>
      <c r="N71" t="s">
        <v>8</v>
      </c>
      <c r="O71" t="s">
        <v>8</v>
      </c>
      <c r="P71" t="s">
        <v>8</v>
      </c>
      <c r="Q71" t="s">
        <v>8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 t="s">
        <v>7</v>
      </c>
      <c r="X71" t="s">
        <v>8</v>
      </c>
      <c r="Y71" t="s">
        <v>8</v>
      </c>
      <c r="Z71" t="s">
        <v>8</v>
      </c>
      <c r="AA71" t="s">
        <v>8</v>
      </c>
      <c r="AB71" t="s">
        <v>8</v>
      </c>
      <c r="AC71">
        <v>1.1000000000000001</v>
      </c>
    </row>
    <row r="72" spans="1:31" x14ac:dyDescent="0.25">
      <c r="A72">
        <v>71</v>
      </c>
      <c r="B72" t="s">
        <v>444</v>
      </c>
      <c r="C72" t="s">
        <v>60</v>
      </c>
      <c r="D72" s="4">
        <f t="shared" si="10"/>
        <v>0</v>
      </c>
      <c r="E72">
        <v>0.1</v>
      </c>
      <c r="F72">
        <v>0.8</v>
      </c>
      <c r="G72" s="3">
        <f t="shared" si="14"/>
        <v>0</v>
      </c>
      <c r="H72" s="6">
        <f t="shared" si="15"/>
        <v>0</v>
      </c>
      <c r="I72" s="6">
        <f t="shared" si="11"/>
        <v>0</v>
      </c>
      <c r="J72" s="6">
        <f t="shared" si="12"/>
        <v>0</v>
      </c>
      <c r="K72" s="7">
        <f t="shared" si="13"/>
        <v>6</v>
      </c>
      <c r="L72" t="s">
        <v>8</v>
      </c>
      <c r="M72" t="s">
        <v>8</v>
      </c>
      <c r="N72" t="s">
        <v>8</v>
      </c>
      <c r="O72">
        <v>0</v>
      </c>
      <c r="P72" t="s">
        <v>8</v>
      </c>
      <c r="Q72" t="s">
        <v>8</v>
      </c>
      <c r="R72">
        <v>0</v>
      </c>
      <c r="S72" t="s">
        <v>8</v>
      </c>
      <c r="T72">
        <v>0.2</v>
      </c>
      <c r="U72" t="s">
        <v>8</v>
      </c>
      <c r="V72" t="s">
        <v>8</v>
      </c>
      <c r="W72" t="s">
        <v>8</v>
      </c>
      <c r="X72" t="s">
        <v>8</v>
      </c>
      <c r="Y72" t="s">
        <v>7</v>
      </c>
      <c r="Z72">
        <v>-0.1</v>
      </c>
      <c r="AA72" t="s">
        <v>8</v>
      </c>
      <c r="AB72">
        <v>0.6</v>
      </c>
      <c r="AC72">
        <v>0</v>
      </c>
    </row>
    <row r="73" spans="1:31" x14ac:dyDescent="0.25">
      <c r="A73">
        <v>72</v>
      </c>
      <c r="B73" t="s">
        <v>445</v>
      </c>
      <c r="C73" t="s">
        <v>10</v>
      </c>
      <c r="D73" s="4">
        <f t="shared" si="10"/>
        <v>0.8</v>
      </c>
      <c r="E73">
        <v>0.8</v>
      </c>
      <c r="F73">
        <v>0.8</v>
      </c>
      <c r="G73" s="3">
        <f t="shared" si="14"/>
        <v>0</v>
      </c>
      <c r="H73" s="6">
        <f t="shared" si="15"/>
        <v>0</v>
      </c>
      <c r="I73" s="6">
        <f t="shared" si="11"/>
        <v>0</v>
      </c>
      <c r="J73" s="6">
        <f t="shared" si="12"/>
        <v>0</v>
      </c>
      <c r="K73" s="7">
        <f t="shared" si="13"/>
        <v>1</v>
      </c>
      <c r="L73" t="s">
        <v>8</v>
      </c>
      <c r="M73" t="s">
        <v>8</v>
      </c>
      <c r="N73" t="s">
        <v>8</v>
      </c>
      <c r="O73" t="s">
        <v>8</v>
      </c>
      <c r="P73">
        <v>0.8</v>
      </c>
      <c r="Q73" t="s">
        <v>8</v>
      </c>
      <c r="R73" t="s">
        <v>8</v>
      </c>
      <c r="S73" t="s">
        <v>8</v>
      </c>
      <c r="T73" t="s">
        <v>8</v>
      </c>
      <c r="U73" t="s">
        <v>8</v>
      </c>
      <c r="V73" t="s">
        <v>8</v>
      </c>
      <c r="W73" t="s">
        <v>8</v>
      </c>
      <c r="X73" t="s">
        <v>8</v>
      </c>
      <c r="Y73" t="s">
        <v>8</v>
      </c>
      <c r="Z73" t="s">
        <v>8</v>
      </c>
      <c r="AA73" t="s">
        <v>8</v>
      </c>
      <c r="AB73" t="s">
        <v>8</v>
      </c>
      <c r="AC73" t="s">
        <v>8</v>
      </c>
    </row>
    <row r="74" spans="1:31" x14ac:dyDescent="0.25">
      <c r="A74">
        <v>73</v>
      </c>
      <c r="B74" t="s">
        <v>446</v>
      </c>
      <c r="C74" t="s">
        <v>62</v>
      </c>
      <c r="D74" s="4">
        <f t="shared" si="10"/>
        <v>0.5</v>
      </c>
      <c r="E74">
        <v>0.5</v>
      </c>
      <c r="F74">
        <v>0.5</v>
      </c>
      <c r="G74" s="3">
        <f t="shared" si="14"/>
        <v>0</v>
      </c>
      <c r="H74" s="6">
        <f t="shared" si="15"/>
        <v>0</v>
      </c>
      <c r="I74" s="6">
        <f t="shared" si="11"/>
        <v>0</v>
      </c>
      <c r="J74" s="6">
        <f t="shared" si="12"/>
        <v>0</v>
      </c>
      <c r="K74" s="7">
        <f t="shared" si="13"/>
        <v>1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  <c r="Q74" t="s">
        <v>7</v>
      </c>
      <c r="R74" t="s">
        <v>8</v>
      </c>
      <c r="S74" t="s">
        <v>8</v>
      </c>
      <c r="T74" t="s">
        <v>8</v>
      </c>
      <c r="U74" t="s">
        <v>8</v>
      </c>
      <c r="V74" t="s">
        <v>8</v>
      </c>
      <c r="W74" t="s">
        <v>8</v>
      </c>
      <c r="X74" t="s">
        <v>8</v>
      </c>
      <c r="Y74" t="s">
        <v>8</v>
      </c>
      <c r="Z74" t="s">
        <v>8</v>
      </c>
      <c r="AA74" t="s">
        <v>8</v>
      </c>
      <c r="AB74" t="s">
        <v>8</v>
      </c>
      <c r="AC74">
        <v>0.5</v>
      </c>
    </row>
    <row r="75" spans="1:31" x14ac:dyDescent="0.25">
      <c r="A75">
        <v>74</v>
      </c>
      <c r="B75" t="s">
        <v>447</v>
      </c>
      <c r="C75" t="s">
        <v>50</v>
      </c>
      <c r="D75" s="4">
        <f t="shared" si="10"/>
        <v>0</v>
      </c>
      <c r="E75">
        <v>0.2</v>
      </c>
      <c r="F75">
        <v>0.5</v>
      </c>
      <c r="G75" s="3">
        <f t="shared" si="14"/>
        <v>0</v>
      </c>
      <c r="H75" s="6">
        <f t="shared" si="15"/>
        <v>0</v>
      </c>
      <c r="I75" s="6">
        <f t="shared" si="11"/>
        <v>0</v>
      </c>
      <c r="J75" s="6">
        <f t="shared" si="12"/>
        <v>0</v>
      </c>
      <c r="K75" s="7">
        <f t="shared" si="13"/>
        <v>3</v>
      </c>
      <c r="L75" t="s">
        <v>8</v>
      </c>
      <c r="M75" t="s">
        <v>8</v>
      </c>
      <c r="N75" t="s">
        <v>8</v>
      </c>
      <c r="O75" t="s">
        <v>8</v>
      </c>
      <c r="P75" t="s">
        <v>8</v>
      </c>
      <c r="Q75" t="s">
        <v>8</v>
      </c>
      <c r="R75">
        <v>-0.2</v>
      </c>
      <c r="S75" t="s">
        <v>8</v>
      </c>
      <c r="T75" t="s">
        <v>8</v>
      </c>
      <c r="U75" t="s">
        <v>8</v>
      </c>
      <c r="V75">
        <v>0</v>
      </c>
      <c r="W75" t="s">
        <v>8</v>
      </c>
      <c r="X75" t="s">
        <v>8</v>
      </c>
      <c r="Y75" t="s">
        <v>7</v>
      </c>
      <c r="Z75" t="s">
        <v>8</v>
      </c>
      <c r="AA75" t="s">
        <v>8</v>
      </c>
      <c r="AB75" t="s">
        <v>8</v>
      </c>
      <c r="AC75">
        <v>0.7</v>
      </c>
    </row>
    <row r="76" spans="1:31" x14ac:dyDescent="0.25">
      <c r="A76">
        <v>75</v>
      </c>
      <c r="B76" t="s">
        <v>448</v>
      </c>
      <c r="C76" t="s">
        <v>38</v>
      </c>
      <c r="D76" s="4">
        <f t="shared" si="10"/>
        <v>0</v>
      </c>
      <c r="E76">
        <v>0.1</v>
      </c>
      <c r="F76">
        <v>0.2</v>
      </c>
      <c r="G76" s="3">
        <f t="shared" si="14"/>
        <v>0</v>
      </c>
      <c r="H76" s="6">
        <f t="shared" si="15"/>
        <v>0</v>
      </c>
      <c r="I76" s="6">
        <f t="shared" si="11"/>
        <v>0</v>
      </c>
      <c r="J76" s="6">
        <f t="shared" si="12"/>
        <v>0</v>
      </c>
      <c r="K76" s="7">
        <f t="shared" si="13"/>
        <v>3</v>
      </c>
      <c r="L76" t="s">
        <v>8</v>
      </c>
      <c r="M76" t="s">
        <v>8</v>
      </c>
      <c r="N76" t="s">
        <v>8</v>
      </c>
      <c r="O76">
        <v>0</v>
      </c>
      <c r="P76" t="s">
        <v>8</v>
      </c>
      <c r="Q76" t="s">
        <v>7</v>
      </c>
      <c r="R76">
        <v>0</v>
      </c>
      <c r="S76" t="s">
        <v>8</v>
      </c>
      <c r="T76" t="s">
        <v>8</v>
      </c>
      <c r="U76" t="s">
        <v>8</v>
      </c>
      <c r="V76" t="s">
        <v>8</v>
      </c>
      <c r="W76" t="s">
        <v>8</v>
      </c>
      <c r="X76" t="s">
        <v>8</v>
      </c>
      <c r="Y76" t="s">
        <v>8</v>
      </c>
      <c r="Z76">
        <v>0.2</v>
      </c>
      <c r="AA76" t="s">
        <v>8</v>
      </c>
      <c r="AB76" t="s">
        <v>8</v>
      </c>
      <c r="AC76" t="s">
        <v>8</v>
      </c>
    </row>
    <row r="77" spans="1:31" x14ac:dyDescent="0.25">
      <c r="A77">
        <v>76</v>
      </c>
      <c r="B77" t="s">
        <v>449</v>
      </c>
      <c r="C77" t="s">
        <v>14</v>
      </c>
      <c r="D77" s="4">
        <f t="shared" si="10"/>
        <v>0</v>
      </c>
      <c r="E77">
        <v>0</v>
      </c>
      <c r="F77">
        <v>0</v>
      </c>
      <c r="G77" s="3">
        <f t="shared" si="14"/>
        <v>0</v>
      </c>
      <c r="H77" s="6">
        <f t="shared" si="15"/>
        <v>0</v>
      </c>
      <c r="I77" s="6">
        <f t="shared" si="11"/>
        <v>0</v>
      </c>
      <c r="J77" s="6">
        <f t="shared" si="12"/>
        <v>0</v>
      </c>
      <c r="K77" s="7">
        <f t="shared" si="13"/>
        <v>1</v>
      </c>
      <c r="L77" t="s">
        <v>8</v>
      </c>
      <c r="M77" t="s">
        <v>8</v>
      </c>
      <c r="N77" t="s">
        <v>8</v>
      </c>
      <c r="O77" t="s">
        <v>8</v>
      </c>
      <c r="P77" t="s">
        <v>8</v>
      </c>
      <c r="Q77" t="s">
        <v>8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 t="s">
        <v>7</v>
      </c>
      <c r="X77" t="s">
        <v>8</v>
      </c>
      <c r="Y77" t="s">
        <v>8</v>
      </c>
      <c r="Z77" t="s">
        <v>8</v>
      </c>
      <c r="AA77" t="s">
        <v>8</v>
      </c>
      <c r="AB77">
        <v>0</v>
      </c>
      <c r="AC77" t="s">
        <v>8</v>
      </c>
    </row>
    <row r="78" spans="1:31" x14ac:dyDescent="0.25">
      <c r="A78">
        <v>76</v>
      </c>
      <c r="B78" t="s">
        <v>450</v>
      </c>
      <c r="C78" t="s">
        <v>90</v>
      </c>
      <c r="D78" s="4">
        <f t="shared" si="10"/>
        <v>0</v>
      </c>
      <c r="E78">
        <v>0</v>
      </c>
      <c r="F78">
        <v>0</v>
      </c>
      <c r="G78" s="3">
        <f t="shared" si="14"/>
        <v>0</v>
      </c>
      <c r="H78" s="6">
        <f t="shared" si="15"/>
        <v>0</v>
      </c>
      <c r="I78" s="6">
        <f t="shared" si="11"/>
        <v>0</v>
      </c>
      <c r="J78" s="6">
        <f t="shared" si="12"/>
        <v>0</v>
      </c>
      <c r="K78" s="7">
        <f t="shared" si="13"/>
        <v>1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  <c r="Q78" t="s">
        <v>8</v>
      </c>
      <c r="R78" t="s">
        <v>8</v>
      </c>
      <c r="S78" t="s">
        <v>8</v>
      </c>
      <c r="T78" t="s">
        <v>8</v>
      </c>
      <c r="U78">
        <v>0</v>
      </c>
      <c r="V78" t="s">
        <v>8</v>
      </c>
      <c r="W78" t="s">
        <v>8</v>
      </c>
      <c r="X78" t="s">
        <v>8</v>
      </c>
      <c r="Y78" t="s">
        <v>8</v>
      </c>
      <c r="Z78" t="s">
        <v>8</v>
      </c>
      <c r="AA78" t="s">
        <v>8</v>
      </c>
      <c r="AB78" t="s">
        <v>8</v>
      </c>
      <c r="AC78" t="s">
        <v>8</v>
      </c>
    </row>
    <row r="79" spans="1:31" x14ac:dyDescent="0.25">
      <c r="A79">
        <v>76</v>
      </c>
      <c r="B79" t="s">
        <v>451</v>
      </c>
      <c r="C79" t="s">
        <v>90</v>
      </c>
      <c r="D79" s="4">
        <f t="shared" si="10"/>
        <v>0</v>
      </c>
      <c r="E79">
        <v>0</v>
      </c>
      <c r="F79">
        <v>0</v>
      </c>
      <c r="G79" s="3">
        <f t="shared" si="14"/>
        <v>0</v>
      </c>
      <c r="H79" s="6">
        <f t="shared" si="15"/>
        <v>0</v>
      </c>
      <c r="I79" s="6">
        <f t="shared" si="11"/>
        <v>0</v>
      </c>
      <c r="J79" s="6">
        <f t="shared" si="12"/>
        <v>0</v>
      </c>
      <c r="K79" s="7">
        <f t="shared" si="13"/>
        <v>1</v>
      </c>
      <c r="L79">
        <v>0</v>
      </c>
      <c r="M79" t="s">
        <v>8</v>
      </c>
      <c r="N79" t="s">
        <v>8</v>
      </c>
      <c r="O79" t="s">
        <v>8</v>
      </c>
      <c r="P79" t="s">
        <v>8</v>
      </c>
      <c r="Q79" t="s">
        <v>8</v>
      </c>
      <c r="R79" t="s">
        <v>8</v>
      </c>
      <c r="S79" t="s">
        <v>8</v>
      </c>
      <c r="T79" t="s">
        <v>8</v>
      </c>
      <c r="U79" t="s">
        <v>8</v>
      </c>
      <c r="V79" t="s">
        <v>8</v>
      </c>
      <c r="W79" t="s">
        <v>8</v>
      </c>
      <c r="X79" t="s">
        <v>8</v>
      </c>
      <c r="Y79" t="s">
        <v>8</v>
      </c>
      <c r="Z79" t="s">
        <v>8</v>
      </c>
      <c r="AA79" t="s">
        <v>8</v>
      </c>
      <c r="AB79" t="s">
        <v>8</v>
      </c>
      <c r="AC79" t="s">
        <v>8</v>
      </c>
    </row>
    <row r="80" spans="1:31" x14ac:dyDescent="0.25">
      <c r="A80">
        <v>76</v>
      </c>
      <c r="B80" t="s">
        <v>452</v>
      </c>
      <c r="C80" t="s">
        <v>43</v>
      </c>
      <c r="D80" s="4">
        <f t="shared" si="10"/>
        <v>0</v>
      </c>
      <c r="E80">
        <v>0</v>
      </c>
      <c r="F80">
        <v>0</v>
      </c>
      <c r="G80" s="3">
        <f t="shared" si="14"/>
        <v>0</v>
      </c>
      <c r="H80" s="6">
        <f t="shared" si="15"/>
        <v>0</v>
      </c>
      <c r="I80" s="6">
        <f t="shared" si="11"/>
        <v>0</v>
      </c>
      <c r="J80" s="6">
        <f t="shared" si="12"/>
        <v>0</v>
      </c>
      <c r="K80" s="7">
        <f t="shared" si="13"/>
        <v>1</v>
      </c>
      <c r="L80">
        <v>0</v>
      </c>
      <c r="M80" t="s">
        <v>8</v>
      </c>
      <c r="N80" t="s">
        <v>8</v>
      </c>
      <c r="O80" t="s">
        <v>8</v>
      </c>
      <c r="P80" t="s">
        <v>8</v>
      </c>
      <c r="Q80" t="s">
        <v>8</v>
      </c>
      <c r="R80" t="s">
        <v>7</v>
      </c>
      <c r="S80" t="s">
        <v>8</v>
      </c>
      <c r="T80" t="s">
        <v>8</v>
      </c>
      <c r="U80" t="s">
        <v>8</v>
      </c>
      <c r="V80" t="s">
        <v>8</v>
      </c>
      <c r="W80" t="s">
        <v>8</v>
      </c>
      <c r="X80" t="s">
        <v>8</v>
      </c>
      <c r="Y80" t="s">
        <v>8</v>
      </c>
      <c r="Z80" t="s">
        <v>8</v>
      </c>
      <c r="AA80" t="s">
        <v>8</v>
      </c>
      <c r="AB80" t="s">
        <v>8</v>
      </c>
      <c r="AC80" t="s">
        <v>8</v>
      </c>
    </row>
    <row r="81" spans="1:29" x14ac:dyDescent="0.25">
      <c r="A81">
        <v>76</v>
      </c>
      <c r="B81" t="s">
        <v>453</v>
      </c>
      <c r="C81" t="s">
        <v>90</v>
      </c>
      <c r="D81" s="4">
        <f t="shared" si="10"/>
        <v>0</v>
      </c>
      <c r="E81">
        <v>0</v>
      </c>
      <c r="F81">
        <v>0</v>
      </c>
      <c r="G81" s="3">
        <f t="shared" si="14"/>
        <v>0</v>
      </c>
      <c r="H81" s="6">
        <f t="shared" si="15"/>
        <v>0</v>
      </c>
      <c r="I81" s="6">
        <f t="shared" si="11"/>
        <v>0</v>
      </c>
      <c r="J81" s="6">
        <f t="shared" si="12"/>
        <v>0</v>
      </c>
      <c r="K81" s="7">
        <f t="shared" si="13"/>
        <v>1</v>
      </c>
      <c r="L81" t="s">
        <v>8</v>
      </c>
      <c r="M81" t="s">
        <v>8</v>
      </c>
      <c r="N81" t="s">
        <v>8</v>
      </c>
      <c r="O81" t="s">
        <v>8</v>
      </c>
      <c r="P81" t="s">
        <v>8</v>
      </c>
      <c r="Q81" t="s">
        <v>8</v>
      </c>
      <c r="R81">
        <v>0</v>
      </c>
      <c r="S81" t="s">
        <v>8</v>
      </c>
      <c r="T81" t="s">
        <v>8</v>
      </c>
      <c r="U81" t="s">
        <v>8</v>
      </c>
      <c r="V81" t="s">
        <v>8</v>
      </c>
      <c r="W81" t="s">
        <v>8</v>
      </c>
      <c r="X81" t="s">
        <v>8</v>
      </c>
      <c r="Y81" t="s">
        <v>8</v>
      </c>
      <c r="Z81" t="s">
        <v>8</v>
      </c>
      <c r="AA81" t="s">
        <v>8</v>
      </c>
      <c r="AB81" t="s">
        <v>8</v>
      </c>
      <c r="AC81" t="s">
        <v>8</v>
      </c>
    </row>
    <row r="82" spans="1:29" x14ac:dyDescent="0.25">
      <c r="A82">
        <v>76</v>
      </c>
      <c r="B82" t="s">
        <v>454</v>
      </c>
      <c r="C82" t="s">
        <v>90</v>
      </c>
      <c r="D82" s="4">
        <f t="shared" si="10"/>
        <v>0</v>
      </c>
      <c r="E82">
        <v>0</v>
      </c>
      <c r="F82">
        <v>0</v>
      </c>
      <c r="G82" s="3">
        <f t="shared" si="14"/>
        <v>0</v>
      </c>
      <c r="H82" s="6">
        <f t="shared" si="15"/>
        <v>0</v>
      </c>
      <c r="I82" s="6">
        <f t="shared" si="11"/>
        <v>0</v>
      </c>
      <c r="J82" s="6">
        <f t="shared" si="12"/>
        <v>0</v>
      </c>
      <c r="K82" s="7">
        <f t="shared" si="13"/>
        <v>1</v>
      </c>
      <c r="L82" t="s">
        <v>8</v>
      </c>
      <c r="M82" t="s">
        <v>8</v>
      </c>
      <c r="N82">
        <v>0</v>
      </c>
      <c r="O82" t="s">
        <v>8</v>
      </c>
      <c r="P82" t="s">
        <v>8</v>
      </c>
      <c r="Q82" t="s">
        <v>8</v>
      </c>
      <c r="R82" t="s">
        <v>8</v>
      </c>
      <c r="S82" t="s">
        <v>8</v>
      </c>
      <c r="T82" t="s">
        <v>8</v>
      </c>
      <c r="U82" t="s">
        <v>8</v>
      </c>
      <c r="V82" t="s">
        <v>8</v>
      </c>
      <c r="W82" t="s">
        <v>8</v>
      </c>
      <c r="X82" t="s">
        <v>8</v>
      </c>
      <c r="Y82" t="s">
        <v>8</v>
      </c>
      <c r="Z82" t="s">
        <v>8</v>
      </c>
      <c r="AA82" t="s">
        <v>8</v>
      </c>
      <c r="AB82" t="s">
        <v>8</v>
      </c>
      <c r="AC82" t="s">
        <v>8</v>
      </c>
    </row>
    <row r="83" spans="1:29" x14ac:dyDescent="0.25">
      <c r="A83">
        <v>76</v>
      </c>
      <c r="B83" t="s">
        <v>455</v>
      </c>
      <c r="C83" t="s">
        <v>90</v>
      </c>
      <c r="D83" s="4">
        <f t="shared" si="10"/>
        <v>0</v>
      </c>
      <c r="E83">
        <v>0</v>
      </c>
      <c r="F83">
        <v>0</v>
      </c>
      <c r="G83" s="3">
        <f t="shared" si="14"/>
        <v>0</v>
      </c>
      <c r="H83" s="6">
        <f t="shared" si="15"/>
        <v>0</v>
      </c>
      <c r="I83" s="6">
        <f t="shared" si="11"/>
        <v>0</v>
      </c>
      <c r="J83" s="6">
        <f t="shared" si="12"/>
        <v>0</v>
      </c>
      <c r="K83" s="7">
        <f t="shared" si="13"/>
        <v>1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  <c r="Q83">
        <v>0</v>
      </c>
      <c r="R83" t="s">
        <v>8</v>
      </c>
      <c r="S83" t="s">
        <v>8</v>
      </c>
      <c r="T83" t="s">
        <v>8</v>
      </c>
      <c r="U83" t="s">
        <v>8</v>
      </c>
      <c r="V83" t="s">
        <v>8</v>
      </c>
      <c r="W83" t="s">
        <v>8</v>
      </c>
      <c r="X83" t="s">
        <v>8</v>
      </c>
      <c r="Y83" t="s">
        <v>8</v>
      </c>
      <c r="Z83" t="s">
        <v>8</v>
      </c>
      <c r="AA83" t="s">
        <v>8</v>
      </c>
      <c r="AB83" t="s">
        <v>8</v>
      </c>
      <c r="AC83" t="s">
        <v>8</v>
      </c>
    </row>
    <row r="84" spans="1:29" x14ac:dyDescent="0.25">
      <c r="A84">
        <v>76</v>
      </c>
      <c r="B84" t="s">
        <v>456</v>
      </c>
      <c r="C84" t="s">
        <v>60</v>
      </c>
      <c r="D84" s="4">
        <f t="shared" si="10"/>
        <v>0</v>
      </c>
      <c r="E84">
        <v>0</v>
      </c>
      <c r="F84">
        <v>0</v>
      </c>
      <c r="G84" s="3">
        <f t="shared" si="14"/>
        <v>0</v>
      </c>
      <c r="H84" s="6">
        <f t="shared" si="15"/>
        <v>0</v>
      </c>
      <c r="I84" s="6">
        <f t="shared" si="11"/>
        <v>0</v>
      </c>
      <c r="J84" s="6">
        <f t="shared" si="12"/>
        <v>0</v>
      </c>
      <c r="K84" s="7">
        <f t="shared" si="13"/>
        <v>2</v>
      </c>
      <c r="L84">
        <v>0</v>
      </c>
      <c r="M84" t="s">
        <v>8</v>
      </c>
      <c r="N84" t="s">
        <v>8</v>
      </c>
      <c r="O84" t="s">
        <v>8</v>
      </c>
      <c r="P84" t="s">
        <v>8</v>
      </c>
      <c r="Q84" t="s">
        <v>8</v>
      </c>
      <c r="R84" t="s">
        <v>8</v>
      </c>
      <c r="S84" t="s">
        <v>8</v>
      </c>
      <c r="T84" t="s">
        <v>8</v>
      </c>
      <c r="U84" t="s">
        <v>8</v>
      </c>
      <c r="V84" t="s">
        <v>8</v>
      </c>
      <c r="W84" t="s">
        <v>8</v>
      </c>
      <c r="X84">
        <v>0</v>
      </c>
      <c r="Y84" t="s">
        <v>7</v>
      </c>
      <c r="Z84" t="s">
        <v>8</v>
      </c>
      <c r="AA84" t="s">
        <v>8</v>
      </c>
      <c r="AB84" t="s">
        <v>8</v>
      </c>
      <c r="AC84" t="s">
        <v>8</v>
      </c>
    </row>
    <row r="85" spans="1:29" x14ac:dyDescent="0.25">
      <c r="A85">
        <v>76</v>
      </c>
      <c r="B85" t="s">
        <v>457</v>
      </c>
      <c r="C85" t="s">
        <v>90</v>
      </c>
      <c r="D85" s="4">
        <f t="shared" si="10"/>
        <v>0</v>
      </c>
      <c r="E85">
        <v>0</v>
      </c>
      <c r="F85">
        <v>0</v>
      </c>
      <c r="G85" s="3">
        <f t="shared" si="14"/>
        <v>0</v>
      </c>
      <c r="H85" s="6">
        <f t="shared" si="15"/>
        <v>0</v>
      </c>
      <c r="I85" s="6">
        <f t="shared" si="11"/>
        <v>0</v>
      </c>
      <c r="J85" s="6">
        <f t="shared" si="12"/>
        <v>0</v>
      </c>
      <c r="K85" s="7">
        <f t="shared" si="13"/>
        <v>2</v>
      </c>
      <c r="L85">
        <v>0</v>
      </c>
      <c r="M85">
        <v>0</v>
      </c>
      <c r="N85" t="s">
        <v>8</v>
      </c>
      <c r="O85" t="s">
        <v>8</v>
      </c>
      <c r="P85" t="s">
        <v>8</v>
      </c>
      <c r="Q85" t="s">
        <v>8</v>
      </c>
      <c r="R85" t="s">
        <v>8</v>
      </c>
      <c r="S85" t="s">
        <v>8</v>
      </c>
      <c r="T85" t="s">
        <v>8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  <c r="Z85" t="s">
        <v>8</v>
      </c>
      <c r="AA85" t="s">
        <v>8</v>
      </c>
      <c r="AB85" t="s">
        <v>8</v>
      </c>
      <c r="AC85" t="s">
        <v>8</v>
      </c>
    </row>
    <row r="86" spans="1:29" x14ac:dyDescent="0.25">
      <c r="A86">
        <v>85</v>
      </c>
      <c r="B86" t="s">
        <v>458</v>
      </c>
      <c r="C86" t="s">
        <v>30</v>
      </c>
      <c r="D86" s="4">
        <f t="shared" si="10"/>
        <v>-0.1</v>
      </c>
      <c r="E86">
        <v>-0.1</v>
      </c>
      <c r="F86">
        <v>-0.2</v>
      </c>
      <c r="G86" s="3">
        <f t="shared" si="14"/>
        <v>0</v>
      </c>
      <c r="H86" s="6">
        <f t="shared" si="15"/>
        <v>0</v>
      </c>
      <c r="I86" s="6">
        <f t="shared" si="11"/>
        <v>0</v>
      </c>
      <c r="J86" s="6">
        <f t="shared" si="12"/>
        <v>0</v>
      </c>
      <c r="K86" s="7">
        <f t="shared" si="13"/>
        <v>3</v>
      </c>
      <c r="L86" t="s">
        <v>8</v>
      </c>
      <c r="M86" t="s">
        <v>8</v>
      </c>
      <c r="N86" t="s">
        <v>8</v>
      </c>
      <c r="O86" t="s">
        <v>8</v>
      </c>
      <c r="P86" t="s">
        <v>8</v>
      </c>
      <c r="Q86" t="s">
        <v>8</v>
      </c>
      <c r="R86" t="s">
        <v>8</v>
      </c>
      <c r="S86">
        <v>0</v>
      </c>
      <c r="T86">
        <v>-0.1</v>
      </c>
      <c r="U86" t="s">
        <v>8</v>
      </c>
      <c r="V86" t="s">
        <v>8</v>
      </c>
      <c r="W86" t="s">
        <v>7</v>
      </c>
      <c r="X86" t="s">
        <v>8</v>
      </c>
      <c r="Y86" t="s">
        <v>8</v>
      </c>
      <c r="Z86" t="s">
        <v>8</v>
      </c>
      <c r="AA86">
        <v>-0.1</v>
      </c>
      <c r="AB86" t="s">
        <v>8</v>
      </c>
      <c r="AC86" t="s">
        <v>8</v>
      </c>
    </row>
    <row r="87" spans="1:29" x14ac:dyDescent="0.25">
      <c r="A87">
        <v>85</v>
      </c>
      <c r="B87" t="s">
        <v>459</v>
      </c>
      <c r="C87" t="s">
        <v>34</v>
      </c>
      <c r="D87" s="4">
        <f t="shared" si="10"/>
        <v>-0.1</v>
      </c>
      <c r="E87">
        <v>-0.1</v>
      </c>
      <c r="F87">
        <v>-0.2</v>
      </c>
      <c r="G87" s="3">
        <f t="shared" si="14"/>
        <v>0</v>
      </c>
      <c r="H87" s="6">
        <f t="shared" si="15"/>
        <v>0</v>
      </c>
      <c r="I87" s="6">
        <f t="shared" si="11"/>
        <v>0</v>
      </c>
      <c r="J87" s="6">
        <f t="shared" si="12"/>
        <v>0</v>
      </c>
      <c r="K87" s="7">
        <f t="shared" si="13"/>
        <v>4</v>
      </c>
      <c r="L87">
        <v>-0.2</v>
      </c>
      <c r="M87" t="s">
        <v>8</v>
      </c>
      <c r="N87" t="s">
        <v>8</v>
      </c>
      <c r="O87" t="s">
        <v>8</v>
      </c>
      <c r="P87" t="s">
        <v>8</v>
      </c>
      <c r="Q87" t="s">
        <v>8</v>
      </c>
      <c r="R87" t="s">
        <v>8</v>
      </c>
      <c r="S87" t="s">
        <v>8</v>
      </c>
      <c r="T87" t="s">
        <v>8</v>
      </c>
      <c r="U87" t="s">
        <v>8</v>
      </c>
      <c r="V87" t="s">
        <v>7</v>
      </c>
      <c r="W87" t="s">
        <v>8</v>
      </c>
      <c r="X87">
        <v>0.2</v>
      </c>
      <c r="Y87" t="s">
        <v>8</v>
      </c>
      <c r="Z87">
        <v>0</v>
      </c>
      <c r="AA87" t="s">
        <v>8</v>
      </c>
      <c r="AB87">
        <v>-0.2</v>
      </c>
      <c r="AC87" t="s">
        <v>8</v>
      </c>
    </row>
    <row r="88" spans="1:29" x14ac:dyDescent="0.25">
      <c r="A88">
        <v>87</v>
      </c>
      <c r="B88" t="s">
        <v>460</v>
      </c>
      <c r="C88" t="s">
        <v>43</v>
      </c>
      <c r="D88" s="4">
        <f t="shared" si="10"/>
        <v>-4.9999999999999989E-2</v>
      </c>
      <c r="E88">
        <v>-0.1</v>
      </c>
      <c r="F88">
        <v>-0.3</v>
      </c>
      <c r="G88" s="3">
        <f t="shared" si="14"/>
        <v>0</v>
      </c>
      <c r="H88" s="6">
        <f t="shared" si="15"/>
        <v>0</v>
      </c>
      <c r="I88" s="6">
        <f t="shared" si="11"/>
        <v>0</v>
      </c>
      <c r="J88" s="6">
        <f t="shared" si="12"/>
        <v>0</v>
      </c>
      <c r="K88" s="7">
        <f t="shared" si="13"/>
        <v>4</v>
      </c>
      <c r="L88" t="s">
        <v>8</v>
      </c>
      <c r="M88" t="s">
        <v>8</v>
      </c>
      <c r="N88" t="s">
        <v>8</v>
      </c>
      <c r="O88" t="s">
        <v>8</v>
      </c>
      <c r="P88">
        <v>-0.4</v>
      </c>
      <c r="Q88">
        <v>-0.3</v>
      </c>
      <c r="R88" t="s">
        <v>7</v>
      </c>
      <c r="S88" t="s">
        <v>8</v>
      </c>
      <c r="T88" t="s">
        <v>8</v>
      </c>
      <c r="U88" t="s">
        <v>8</v>
      </c>
      <c r="V88" t="s">
        <v>8</v>
      </c>
      <c r="W88" t="s">
        <v>8</v>
      </c>
      <c r="X88" t="s">
        <v>8</v>
      </c>
      <c r="Y88">
        <v>0.2</v>
      </c>
      <c r="Z88">
        <v>0.2</v>
      </c>
      <c r="AA88" t="s">
        <v>8</v>
      </c>
      <c r="AB88" t="s">
        <v>8</v>
      </c>
      <c r="AC88" t="s">
        <v>8</v>
      </c>
    </row>
    <row r="89" spans="1:29" x14ac:dyDescent="0.25">
      <c r="A89">
        <v>88</v>
      </c>
      <c r="B89" t="s">
        <v>461</v>
      </c>
      <c r="C89" t="s">
        <v>28</v>
      </c>
      <c r="D89" s="4">
        <f t="shared" si="10"/>
        <v>0.1</v>
      </c>
      <c r="E89">
        <v>-0.3</v>
      </c>
      <c r="F89">
        <v>-2.1</v>
      </c>
      <c r="G89" s="3">
        <f t="shared" si="14"/>
        <v>0</v>
      </c>
      <c r="H89" s="6">
        <f t="shared" si="15"/>
        <v>0</v>
      </c>
      <c r="I89" s="6">
        <f t="shared" si="11"/>
        <v>0</v>
      </c>
      <c r="J89" s="6">
        <f t="shared" si="12"/>
        <v>0</v>
      </c>
      <c r="K89" s="7">
        <f t="shared" si="13"/>
        <v>6</v>
      </c>
      <c r="L89" t="s">
        <v>8</v>
      </c>
      <c r="M89">
        <v>-2.6</v>
      </c>
      <c r="N89" t="s">
        <v>8</v>
      </c>
      <c r="O89" t="s">
        <v>8</v>
      </c>
      <c r="P89" t="s">
        <v>8</v>
      </c>
      <c r="Q89" t="s">
        <v>8</v>
      </c>
      <c r="R89">
        <v>0.2</v>
      </c>
      <c r="S89" t="s">
        <v>8</v>
      </c>
      <c r="T89">
        <v>0</v>
      </c>
      <c r="U89">
        <v>-0.1</v>
      </c>
      <c r="V89" t="s">
        <v>7</v>
      </c>
      <c r="W89" t="s">
        <v>8</v>
      </c>
      <c r="X89" t="s">
        <v>8</v>
      </c>
      <c r="Y89" t="s">
        <v>8</v>
      </c>
      <c r="Z89">
        <v>0.2</v>
      </c>
      <c r="AA89" t="s">
        <v>8</v>
      </c>
      <c r="AB89" t="s">
        <v>8</v>
      </c>
      <c r="AC89">
        <v>0.2</v>
      </c>
    </row>
    <row r="90" spans="1:29" x14ac:dyDescent="0.25">
      <c r="G90" s="3">
        <f t="shared" ref="G90:G121" si="16">COUNTIFS(M90:AD90,"&gt;=10",M90:AD90,"&lt;=99")</f>
        <v>0</v>
      </c>
      <c r="H90" s="6">
        <f t="shared" si="15"/>
        <v>0</v>
      </c>
    </row>
    <row r="91" spans="1:29" x14ac:dyDescent="0.25">
      <c r="G91" s="3">
        <f t="shared" si="16"/>
        <v>0</v>
      </c>
      <c r="H91" s="6">
        <f t="shared" si="15"/>
        <v>0</v>
      </c>
    </row>
    <row r="92" spans="1:29" x14ac:dyDescent="0.25">
      <c r="G92" s="3">
        <f t="shared" si="16"/>
        <v>0</v>
      </c>
      <c r="H92" s="6">
        <f t="shared" si="15"/>
        <v>0</v>
      </c>
    </row>
    <row r="93" spans="1:29" x14ac:dyDescent="0.25">
      <c r="G93" s="3">
        <f t="shared" si="16"/>
        <v>0</v>
      </c>
      <c r="H93" s="6">
        <f t="shared" si="15"/>
        <v>0</v>
      </c>
    </row>
    <row r="94" spans="1:29" x14ac:dyDescent="0.25">
      <c r="G94" s="3">
        <f t="shared" si="16"/>
        <v>0</v>
      </c>
      <c r="H94" s="6">
        <f t="shared" si="15"/>
        <v>0</v>
      </c>
    </row>
    <row r="95" spans="1:29" x14ac:dyDescent="0.25">
      <c r="G95" s="3">
        <f t="shared" si="16"/>
        <v>0</v>
      </c>
      <c r="H95" s="6">
        <f t="shared" si="15"/>
        <v>0</v>
      </c>
    </row>
    <row r="96" spans="1:29" x14ac:dyDescent="0.25">
      <c r="G96" s="3">
        <f t="shared" si="16"/>
        <v>0</v>
      </c>
      <c r="H96" s="6">
        <f t="shared" si="15"/>
        <v>0</v>
      </c>
    </row>
    <row r="97" spans="7:8" x14ac:dyDescent="0.25">
      <c r="G97" s="3">
        <f t="shared" si="16"/>
        <v>0</v>
      </c>
      <c r="H97" s="6">
        <f t="shared" si="15"/>
        <v>0</v>
      </c>
    </row>
    <row r="98" spans="7:8" x14ac:dyDescent="0.25">
      <c r="G98" s="3">
        <f t="shared" si="16"/>
        <v>0</v>
      </c>
      <c r="H98" s="6">
        <f t="shared" si="15"/>
        <v>0</v>
      </c>
    </row>
    <row r="99" spans="7:8" x14ac:dyDescent="0.25">
      <c r="G99" s="3">
        <f t="shared" si="16"/>
        <v>0</v>
      </c>
      <c r="H99" s="6">
        <f t="shared" si="15"/>
        <v>0</v>
      </c>
    </row>
    <row r="100" spans="7:8" x14ac:dyDescent="0.25">
      <c r="G100" s="3">
        <f t="shared" si="16"/>
        <v>0</v>
      </c>
      <c r="H100" s="6">
        <f t="shared" si="15"/>
        <v>0</v>
      </c>
    </row>
    <row r="101" spans="7:8" x14ac:dyDescent="0.25">
      <c r="G101" s="3">
        <f t="shared" si="16"/>
        <v>0</v>
      </c>
      <c r="H101" s="6">
        <f t="shared" si="15"/>
        <v>0</v>
      </c>
    </row>
    <row r="102" spans="7:8" x14ac:dyDescent="0.25">
      <c r="G102" s="3">
        <f t="shared" si="16"/>
        <v>0</v>
      </c>
      <c r="H102" s="6">
        <f t="shared" si="15"/>
        <v>0</v>
      </c>
    </row>
    <row r="103" spans="7:8" x14ac:dyDescent="0.25">
      <c r="G103" s="3">
        <f t="shared" si="16"/>
        <v>0</v>
      </c>
      <c r="H103" s="6">
        <f t="shared" si="15"/>
        <v>0</v>
      </c>
    </row>
    <row r="104" spans="7:8" x14ac:dyDescent="0.25">
      <c r="G104" s="3">
        <f t="shared" si="16"/>
        <v>0</v>
      </c>
      <c r="H104" s="6">
        <f t="shared" si="15"/>
        <v>0</v>
      </c>
    </row>
    <row r="105" spans="7:8" x14ac:dyDescent="0.25">
      <c r="G105" s="3">
        <f t="shared" si="16"/>
        <v>0</v>
      </c>
      <c r="H105" s="6">
        <f t="shared" si="15"/>
        <v>0</v>
      </c>
    </row>
    <row r="106" spans="7:8" x14ac:dyDescent="0.25">
      <c r="G106" s="3">
        <f t="shared" si="16"/>
        <v>0</v>
      </c>
      <c r="H106" s="6">
        <f t="shared" si="15"/>
        <v>0</v>
      </c>
    </row>
    <row r="107" spans="7:8" x14ac:dyDescent="0.25">
      <c r="G107" s="3">
        <f t="shared" si="16"/>
        <v>0</v>
      </c>
      <c r="H107" s="6">
        <f t="shared" si="15"/>
        <v>0</v>
      </c>
    </row>
    <row r="108" spans="7:8" x14ac:dyDescent="0.25">
      <c r="G108" s="3">
        <f t="shared" si="16"/>
        <v>0</v>
      </c>
      <c r="H108" s="6">
        <f t="shared" si="15"/>
        <v>0</v>
      </c>
    </row>
    <row r="109" spans="7:8" x14ac:dyDescent="0.25">
      <c r="G109" s="3">
        <f t="shared" si="16"/>
        <v>0</v>
      </c>
      <c r="H109" s="6">
        <f t="shared" si="15"/>
        <v>0</v>
      </c>
    </row>
    <row r="110" spans="7:8" x14ac:dyDescent="0.25">
      <c r="G110" s="3">
        <f t="shared" si="16"/>
        <v>0</v>
      </c>
      <c r="H110" s="6">
        <f t="shared" si="15"/>
        <v>0</v>
      </c>
    </row>
    <row r="111" spans="7:8" x14ac:dyDescent="0.25">
      <c r="G111" s="3">
        <f t="shared" si="16"/>
        <v>0</v>
      </c>
      <c r="H111" s="6">
        <f t="shared" si="15"/>
        <v>0</v>
      </c>
    </row>
    <row r="112" spans="7:8" x14ac:dyDescent="0.25">
      <c r="G112" s="3">
        <f t="shared" si="16"/>
        <v>0</v>
      </c>
      <c r="H112" s="6">
        <f t="shared" si="15"/>
        <v>0</v>
      </c>
    </row>
    <row r="113" spans="7:8" x14ac:dyDescent="0.25">
      <c r="G113" s="3">
        <f t="shared" si="16"/>
        <v>0</v>
      </c>
      <c r="H113" s="6">
        <f t="shared" si="15"/>
        <v>0</v>
      </c>
    </row>
    <row r="114" spans="7:8" x14ac:dyDescent="0.25">
      <c r="G114" s="3">
        <f t="shared" si="16"/>
        <v>0</v>
      </c>
      <c r="H114" s="6">
        <f t="shared" si="15"/>
        <v>0</v>
      </c>
    </row>
    <row r="115" spans="7:8" x14ac:dyDescent="0.25">
      <c r="G115" s="3">
        <f t="shared" si="16"/>
        <v>0</v>
      </c>
      <c r="H115" s="6">
        <f t="shared" si="15"/>
        <v>0</v>
      </c>
    </row>
    <row r="116" spans="7:8" x14ac:dyDescent="0.25">
      <c r="G116" s="3">
        <f t="shared" si="16"/>
        <v>0</v>
      </c>
      <c r="H116" s="6">
        <f t="shared" si="15"/>
        <v>0</v>
      </c>
    </row>
    <row r="117" spans="7:8" x14ac:dyDescent="0.25">
      <c r="G117" s="3">
        <f t="shared" si="16"/>
        <v>0</v>
      </c>
      <c r="H117" s="6">
        <f t="shared" si="15"/>
        <v>0</v>
      </c>
    </row>
    <row r="118" spans="7:8" x14ac:dyDescent="0.25">
      <c r="G118" s="3">
        <f t="shared" si="16"/>
        <v>0</v>
      </c>
      <c r="H118" s="6">
        <f t="shared" si="15"/>
        <v>0</v>
      </c>
    </row>
    <row r="119" spans="7:8" x14ac:dyDescent="0.25">
      <c r="G119" s="3">
        <f t="shared" si="16"/>
        <v>0</v>
      </c>
      <c r="H119" s="6">
        <f t="shared" si="15"/>
        <v>0</v>
      </c>
    </row>
    <row r="120" spans="7:8" x14ac:dyDescent="0.25">
      <c r="G120" s="3">
        <f t="shared" si="16"/>
        <v>0</v>
      </c>
      <c r="H120" s="6">
        <f t="shared" si="15"/>
        <v>0</v>
      </c>
    </row>
    <row r="121" spans="7:8" x14ac:dyDescent="0.25">
      <c r="G121" s="3">
        <f t="shared" si="16"/>
        <v>0</v>
      </c>
      <c r="H121" s="6">
        <f t="shared" si="15"/>
        <v>0</v>
      </c>
    </row>
    <row r="122" spans="7:8" x14ac:dyDescent="0.25">
      <c r="G122" s="3">
        <f t="shared" ref="G122:G153" si="17">COUNTIFS(M122:AD122,"&gt;=10",M122:AD122,"&lt;=99")</f>
        <v>0</v>
      </c>
      <c r="H122" s="6">
        <f t="shared" si="15"/>
        <v>0</v>
      </c>
    </row>
    <row r="123" spans="7:8" x14ac:dyDescent="0.25">
      <c r="G123" s="3">
        <f t="shared" si="17"/>
        <v>0</v>
      </c>
      <c r="H123" s="6">
        <f t="shared" si="15"/>
        <v>0</v>
      </c>
    </row>
    <row r="124" spans="7:8" x14ac:dyDescent="0.25">
      <c r="G124" s="3">
        <f t="shared" si="17"/>
        <v>0</v>
      </c>
      <c r="H124" s="6">
        <f t="shared" si="15"/>
        <v>0</v>
      </c>
    </row>
    <row r="125" spans="7:8" x14ac:dyDescent="0.25">
      <c r="G125" s="3">
        <f t="shared" si="17"/>
        <v>0</v>
      </c>
      <c r="H125" s="6">
        <f t="shared" si="15"/>
        <v>0</v>
      </c>
    </row>
    <row r="126" spans="7:8" x14ac:dyDescent="0.25">
      <c r="G126" s="3">
        <f t="shared" si="17"/>
        <v>0</v>
      </c>
      <c r="H126" s="6">
        <f t="shared" si="15"/>
        <v>0</v>
      </c>
    </row>
    <row r="127" spans="7:8" x14ac:dyDescent="0.25">
      <c r="G127" s="3">
        <f t="shared" si="17"/>
        <v>0</v>
      </c>
      <c r="H127" s="6">
        <f t="shared" si="15"/>
        <v>0</v>
      </c>
    </row>
    <row r="128" spans="7:8" x14ac:dyDescent="0.25">
      <c r="G128" s="3">
        <f t="shared" si="17"/>
        <v>0</v>
      </c>
      <c r="H128" s="6">
        <f t="shared" si="15"/>
        <v>0</v>
      </c>
    </row>
    <row r="129" spans="7:8" x14ac:dyDescent="0.25">
      <c r="G129" s="3">
        <f t="shared" si="17"/>
        <v>0</v>
      </c>
      <c r="H129" s="6">
        <f t="shared" si="15"/>
        <v>0</v>
      </c>
    </row>
    <row r="130" spans="7:8" x14ac:dyDescent="0.25">
      <c r="G130" s="3">
        <f t="shared" si="17"/>
        <v>0</v>
      </c>
      <c r="H130" s="6">
        <f t="shared" si="15"/>
        <v>0</v>
      </c>
    </row>
    <row r="131" spans="7:8" x14ac:dyDescent="0.25">
      <c r="G131" s="3">
        <f t="shared" si="17"/>
        <v>0</v>
      </c>
      <c r="H131" s="6">
        <f t="shared" si="15"/>
        <v>0</v>
      </c>
    </row>
    <row r="132" spans="7:8" x14ac:dyDescent="0.25">
      <c r="G132" s="3">
        <f t="shared" si="17"/>
        <v>0</v>
      </c>
      <c r="H132" s="6">
        <f t="shared" ref="H132:H195" si="18">COUNTIFS(L132:AC132,"&gt;=15",L132:AC132,"&lt;=99")</f>
        <v>0</v>
      </c>
    </row>
    <row r="133" spans="7:8" x14ac:dyDescent="0.25">
      <c r="G133" s="3">
        <f t="shared" si="17"/>
        <v>0</v>
      </c>
      <c r="H133" s="6">
        <f t="shared" si="18"/>
        <v>0</v>
      </c>
    </row>
    <row r="134" spans="7:8" x14ac:dyDescent="0.25">
      <c r="G134" s="3">
        <f t="shared" si="17"/>
        <v>0</v>
      </c>
      <c r="H134" s="6">
        <f t="shared" si="18"/>
        <v>0</v>
      </c>
    </row>
    <row r="135" spans="7:8" x14ac:dyDescent="0.25">
      <c r="G135" s="3">
        <f t="shared" si="17"/>
        <v>0</v>
      </c>
      <c r="H135" s="6">
        <f t="shared" si="18"/>
        <v>0</v>
      </c>
    </row>
    <row r="136" spans="7:8" x14ac:dyDescent="0.25">
      <c r="G136" s="3">
        <f t="shared" si="17"/>
        <v>0</v>
      </c>
      <c r="H136" s="6">
        <f t="shared" si="18"/>
        <v>0</v>
      </c>
    </row>
    <row r="137" spans="7:8" x14ac:dyDescent="0.25">
      <c r="G137" s="3">
        <f t="shared" si="17"/>
        <v>0</v>
      </c>
      <c r="H137" s="6">
        <f t="shared" si="18"/>
        <v>0</v>
      </c>
    </row>
    <row r="138" spans="7:8" x14ac:dyDescent="0.25">
      <c r="G138" s="3">
        <f t="shared" si="17"/>
        <v>0</v>
      </c>
      <c r="H138" s="6">
        <f t="shared" si="18"/>
        <v>0</v>
      </c>
    </row>
    <row r="139" spans="7:8" x14ac:dyDescent="0.25">
      <c r="G139" s="3">
        <f t="shared" si="17"/>
        <v>0</v>
      </c>
      <c r="H139" s="6">
        <f t="shared" si="18"/>
        <v>0</v>
      </c>
    </row>
    <row r="140" spans="7:8" x14ac:dyDescent="0.25">
      <c r="G140" s="3">
        <f t="shared" si="17"/>
        <v>0</v>
      </c>
      <c r="H140" s="6">
        <f t="shared" si="18"/>
        <v>0</v>
      </c>
    </row>
    <row r="141" spans="7:8" x14ac:dyDescent="0.25">
      <c r="G141" s="3">
        <f t="shared" si="17"/>
        <v>0</v>
      </c>
      <c r="H141" s="6">
        <f t="shared" si="18"/>
        <v>0</v>
      </c>
    </row>
    <row r="142" spans="7:8" x14ac:dyDescent="0.25">
      <c r="G142" s="3">
        <f t="shared" si="17"/>
        <v>0</v>
      </c>
      <c r="H142" s="6">
        <f t="shared" si="18"/>
        <v>0</v>
      </c>
    </row>
    <row r="143" spans="7:8" x14ac:dyDescent="0.25">
      <c r="G143" s="3">
        <f t="shared" si="17"/>
        <v>0</v>
      </c>
      <c r="H143" s="6">
        <f t="shared" si="18"/>
        <v>0</v>
      </c>
    </row>
    <row r="144" spans="7:8" x14ac:dyDescent="0.25">
      <c r="G144" s="3">
        <f t="shared" si="17"/>
        <v>0</v>
      </c>
      <c r="H144" s="6">
        <f t="shared" si="18"/>
        <v>0</v>
      </c>
    </row>
    <row r="145" spans="7:8" x14ac:dyDescent="0.25">
      <c r="G145" s="3">
        <f t="shared" si="17"/>
        <v>0</v>
      </c>
      <c r="H145" s="6">
        <f t="shared" si="18"/>
        <v>0</v>
      </c>
    </row>
    <row r="146" spans="7:8" x14ac:dyDescent="0.25">
      <c r="G146" s="3">
        <f t="shared" si="17"/>
        <v>0</v>
      </c>
      <c r="H146" s="6">
        <f t="shared" si="18"/>
        <v>0</v>
      </c>
    </row>
    <row r="147" spans="7:8" x14ac:dyDescent="0.25">
      <c r="G147" s="3">
        <f t="shared" si="17"/>
        <v>0</v>
      </c>
      <c r="H147" s="6">
        <f t="shared" si="18"/>
        <v>0</v>
      </c>
    </row>
    <row r="148" spans="7:8" x14ac:dyDescent="0.25">
      <c r="G148" s="3">
        <f t="shared" si="17"/>
        <v>0</v>
      </c>
      <c r="H148" s="6">
        <f t="shared" si="18"/>
        <v>0</v>
      </c>
    </row>
    <row r="149" spans="7:8" x14ac:dyDescent="0.25">
      <c r="G149" s="3">
        <f t="shared" si="17"/>
        <v>0</v>
      </c>
      <c r="H149" s="6">
        <f t="shared" si="18"/>
        <v>0</v>
      </c>
    </row>
    <row r="150" spans="7:8" x14ac:dyDescent="0.25">
      <c r="G150" s="3">
        <f t="shared" si="17"/>
        <v>0</v>
      </c>
      <c r="H150" s="6">
        <f t="shared" si="18"/>
        <v>0</v>
      </c>
    </row>
    <row r="151" spans="7:8" x14ac:dyDescent="0.25">
      <c r="G151" s="3">
        <f t="shared" si="17"/>
        <v>0</v>
      </c>
      <c r="H151" s="6">
        <f t="shared" si="18"/>
        <v>0</v>
      </c>
    </row>
    <row r="152" spans="7:8" x14ac:dyDescent="0.25">
      <c r="G152" s="3">
        <f t="shared" si="17"/>
        <v>0</v>
      </c>
      <c r="H152" s="6">
        <f t="shared" si="18"/>
        <v>0</v>
      </c>
    </row>
    <row r="153" spans="7:8" x14ac:dyDescent="0.25">
      <c r="G153" s="3">
        <f t="shared" si="17"/>
        <v>0</v>
      </c>
      <c r="H153" s="6">
        <f t="shared" si="18"/>
        <v>0</v>
      </c>
    </row>
    <row r="154" spans="7:8" x14ac:dyDescent="0.25">
      <c r="G154" s="3">
        <f t="shared" ref="G154:G185" si="19">COUNTIFS(M154:AD154,"&gt;=10",M154:AD154,"&lt;=99")</f>
        <v>0</v>
      </c>
      <c r="H154" s="6">
        <f t="shared" si="18"/>
        <v>0</v>
      </c>
    </row>
    <row r="155" spans="7:8" x14ac:dyDescent="0.25">
      <c r="G155" s="3">
        <f t="shared" si="19"/>
        <v>0</v>
      </c>
      <c r="H155" s="6">
        <f t="shared" si="18"/>
        <v>0</v>
      </c>
    </row>
    <row r="156" spans="7:8" x14ac:dyDescent="0.25">
      <c r="G156" s="3">
        <f t="shared" si="19"/>
        <v>0</v>
      </c>
      <c r="H156" s="6">
        <f t="shared" si="18"/>
        <v>0</v>
      </c>
    </row>
    <row r="157" spans="7:8" x14ac:dyDescent="0.25">
      <c r="G157" s="3">
        <f t="shared" si="19"/>
        <v>0</v>
      </c>
      <c r="H157" s="6">
        <f t="shared" si="18"/>
        <v>0</v>
      </c>
    </row>
    <row r="158" spans="7:8" x14ac:dyDescent="0.25">
      <c r="G158" s="3">
        <f t="shared" si="19"/>
        <v>0</v>
      </c>
      <c r="H158" s="6">
        <f t="shared" si="18"/>
        <v>0</v>
      </c>
    </row>
    <row r="159" spans="7:8" x14ac:dyDescent="0.25">
      <c r="G159" s="3">
        <f t="shared" si="19"/>
        <v>0</v>
      </c>
      <c r="H159" s="6">
        <f t="shared" si="18"/>
        <v>0</v>
      </c>
    </row>
    <row r="160" spans="7:8" x14ac:dyDescent="0.25">
      <c r="G160" s="3">
        <f t="shared" si="19"/>
        <v>0</v>
      </c>
      <c r="H160" s="6">
        <f t="shared" si="18"/>
        <v>0</v>
      </c>
    </row>
    <row r="161" spans="7:8" x14ac:dyDescent="0.25">
      <c r="G161" s="3">
        <f t="shared" si="19"/>
        <v>0</v>
      </c>
      <c r="H161" s="6">
        <f t="shared" si="18"/>
        <v>0</v>
      </c>
    </row>
    <row r="162" spans="7:8" x14ac:dyDescent="0.25">
      <c r="G162" s="3">
        <f t="shared" si="19"/>
        <v>0</v>
      </c>
      <c r="H162" s="6">
        <f t="shared" si="18"/>
        <v>0</v>
      </c>
    </row>
    <row r="163" spans="7:8" x14ac:dyDescent="0.25">
      <c r="G163" s="3">
        <f t="shared" si="19"/>
        <v>0</v>
      </c>
      <c r="H163" s="6">
        <f t="shared" si="18"/>
        <v>0</v>
      </c>
    </row>
    <row r="164" spans="7:8" x14ac:dyDescent="0.25">
      <c r="G164" s="3">
        <f t="shared" si="19"/>
        <v>0</v>
      </c>
      <c r="H164" s="6">
        <f t="shared" si="18"/>
        <v>0</v>
      </c>
    </row>
    <row r="165" spans="7:8" x14ac:dyDescent="0.25">
      <c r="G165" s="3">
        <f t="shared" si="19"/>
        <v>0</v>
      </c>
      <c r="H165" s="6">
        <f t="shared" si="18"/>
        <v>0</v>
      </c>
    </row>
    <row r="166" spans="7:8" x14ac:dyDescent="0.25">
      <c r="G166" s="3">
        <f t="shared" si="19"/>
        <v>0</v>
      </c>
      <c r="H166" s="6">
        <f t="shared" si="18"/>
        <v>0</v>
      </c>
    </row>
    <row r="167" spans="7:8" x14ac:dyDescent="0.25">
      <c r="G167" s="3">
        <f t="shared" si="19"/>
        <v>0</v>
      </c>
      <c r="H167" s="6">
        <f t="shared" si="18"/>
        <v>0</v>
      </c>
    </row>
    <row r="168" spans="7:8" x14ac:dyDescent="0.25">
      <c r="G168" s="3">
        <f t="shared" si="19"/>
        <v>0</v>
      </c>
      <c r="H168" s="6">
        <f t="shared" si="18"/>
        <v>0</v>
      </c>
    </row>
    <row r="169" spans="7:8" x14ac:dyDescent="0.25">
      <c r="G169" s="3">
        <f t="shared" si="19"/>
        <v>0</v>
      </c>
      <c r="H169" s="6">
        <f t="shared" si="18"/>
        <v>0</v>
      </c>
    </row>
    <row r="170" spans="7:8" x14ac:dyDescent="0.25">
      <c r="G170" s="3">
        <f t="shared" si="19"/>
        <v>0</v>
      </c>
      <c r="H170" s="6">
        <f t="shared" si="18"/>
        <v>0</v>
      </c>
    </row>
    <row r="171" spans="7:8" x14ac:dyDescent="0.25">
      <c r="G171" s="3">
        <f t="shared" si="19"/>
        <v>0</v>
      </c>
      <c r="H171" s="6">
        <f t="shared" si="18"/>
        <v>0</v>
      </c>
    </row>
    <row r="172" spans="7:8" x14ac:dyDescent="0.25">
      <c r="G172" s="3">
        <f t="shared" si="19"/>
        <v>0</v>
      </c>
      <c r="H172" s="6">
        <f t="shared" si="18"/>
        <v>0</v>
      </c>
    </row>
    <row r="173" spans="7:8" x14ac:dyDescent="0.25">
      <c r="G173" s="3">
        <f t="shared" si="19"/>
        <v>0</v>
      </c>
      <c r="H173" s="6">
        <f t="shared" si="18"/>
        <v>0</v>
      </c>
    </row>
    <row r="174" spans="7:8" x14ac:dyDescent="0.25">
      <c r="G174" s="3">
        <f t="shared" si="19"/>
        <v>0</v>
      </c>
      <c r="H174" s="6">
        <f t="shared" si="18"/>
        <v>0</v>
      </c>
    </row>
    <row r="175" spans="7:8" x14ac:dyDescent="0.25">
      <c r="G175" s="3">
        <f t="shared" si="19"/>
        <v>0</v>
      </c>
      <c r="H175" s="6">
        <f t="shared" si="18"/>
        <v>0</v>
      </c>
    </row>
    <row r="176" spans="7:8" x14ac:dyDescent="0.25">
      <c r="G176" s="3">
        <f t="shared" si="19"/>
        <v>0</v>
      </c>
      <c r="H176" s="6">
        <f t="shared" si="18"/>
        <v>0</v>
      </c>
    </row>
    <row r="177" spans="7:8" x14ac:dyDescent="0.25">
      <c r="G177" s="3">
        <f t="shared" si="19"/>
        <v>0</v>
      </c>
      <c r="H177" s="6">
        <f t="shared" si="18"/>
        <v>0</v>
      </c>
    </row>
    <row r="178" spans="7:8" x14ac:dyDescent="0.25">
      <c r="G178" s="3">
        <f t="shared" si="19"/>
        <v>0</v>
      </c>
      <c r="H178" s="6">
        <f t="shared" si="18"/>
        <v>0</v>
      </c>
    </row>
    <row r="179" spans="7:8" x14ac:dyDescent="0.25">
      <c r="G179" s="3">
        <f t="shared" si="19"/>
        <v>0</v>
      </c>
      <c r="H179" s="6">
        <f t="shared" si="18"/>
        <v>0</v>
      </c>
    </row>
    <row r="180" spans="7:8" x14ac:dyDescent="0.25">
      <c r="G180" s="3">
        <f t="shared" si="19"/>
        <v>0</v>
      </c>
      <c r="H180" s="6">
        <f t="shared" si="18"/>
        <v>0</v>
      </c>
    </row>
    <row r="181" spans="7:8" x14ac:dyDescent="0.25">
      <c r="G181" s="3">
        <f t="shared" si="19"/>
        <v>0</v>
      </c>
      <c r="H181" s="6">
        <f t="shared" si="18"/>
        <v>0</v>
      </c>
    </row>
    <row r="182" spans="7:8" x14ac:dyDescent="0.25">
      <c r="G182" s="3">
        <f t="shared" si="19"/>
        <v>0</v>
      </c>
      <c r="H182" s="6">
        <f t="shared" si="18"/>
        <v>0</v>
      </c>
    </row>
    <row r="183" spans="7:8" x14ac:dyDescent="0.25">
      <c r="G183" s="3">
        <f t="shared" si="19"/>
        <v>0</v>
      </c>
      <c r="H183" s="6">
        <f t="shared" si="18"/>
        <v>0</v>
      </c>
    </row>
    <row r="184" spans="7:8" x14ac:dyDescent="0.25">
      <c r="G184" s="3">
        <f t="shared" si="19"/>
        <v>0</v>
      </c>
      <c r="H184" s="6">
        <f t="shared" si="18"/>
        <v>0</v>
      </c>
    </row>
    <row r="185" spans="7:8" x14ac:dyDescent="0.25">
      <c r="G185" s="3">
        <f t="shared" si="19"/>
        <v>0</v>
      </c>
      <c r="H185" s="6">
        <f t="shared" si="18"/>
        <v>0</v>
      </c>
    </row>
    <row r="186" spans="7:8" x14ac:dyDescent="0.25">
      <c r="G186" s="3">
        <f t="shared" ref="G186:G217" si="20">COUNTIFS(M186:AD186,"&gt;=10",M186:AD186,"&lt;=99")</f>
        <v>0</v>
      </c>
      <c r="H186" s="6">
        <f t="shared" si="18"/>
        <v>0</v>
      </c>
    </row>
    <row r="187" spans="7:8" x14ac:dyDescent="0.25">
      <c r="G187" s="3">
        <f t="shared" si="20"/>
        <v>0</v>
      </c>
      <c r="H187" s="6">
        <f t="shared" si="18"/>
        <v>0</v>
      </c>
    </row>
    <row r="188" spans="7:8" x14ac:dyDescent="0.25">
      <c r="G188" s="3">
        <f t="shared" si="20"/>
        <v>0</v>
      </c>
      <c r="H188" s="6">
        <f t="shared" si="18"/>
        <v>0</v>
      </c>
    </row>
    <row r="189" spans="7:8" x14ac:dyDescent="0.25">
      <c r="G189" s="3">
        <f t="shared" si="20"/>
        <v>0</v>
      </c>
      <c r="H189" s="6">
        <f t="shared" si="18"/>
        <v>0</v>
      </c>
    </row>
    <row r="190" spans="7:8" x14ac:dyDescent="0.25">
      <c r="G190" s="3">
        <f t="shared" si="20"/>
        <v>0</v>
      </c>
      <c r="H190" s="6">
        <f t="shared" si="18"/>
        <v>0</v>
      </c>
    </row>
    <row r="191" spans="7:8" x14ac:dyDescent="0.25">
      <c r="G191" s="3">
        <f t="shared" si="20"/>
        <v>0</v>
      </c>
      <c r="H191" s="6">
        <f t="shared" si="18"/>
        <v>0</v>
      </c>
    </row>
    <row r="192" spans="7:8" x14ac:dyDescent="0.25">
      <c r="G192" s="3">
        <f t="shared" si="20"/>
        <v>0</v>
      </c>
      <c r="H192" s="6">
        <f t="shared" si="18"/>
        <v>0</v>
      </c>
    </row>
    <row r="193" spans="7:8" x14ac:dyDescent="0.25">
      <c r="G193" s="3">
        <f t="shared" si="20"/>
        <v>0</v>
      </c>
      <c r="H193" s="6">
        <f t="shared" si="18"/>
        <v>0</v>
      </c>
    </row>
    <row r="194" spans="7:8" x14ac:dyDescent="0.25">
      <c r="G194" s="3">
        <f t="shared" si="20"/>
        <v>0</v>
      </c>
      <c r="H194" s="6">
        <f t="shared" si="18"/>
        <v>0</v>
      </c>
    </row>
    <row r="195" spans="7:8" x14ac:dyDescent="0.25">
      <c r="G195" s="3">
        <f t="shared" si="20"/>
        <v>0</v>
      </c>
      <c r="H195" s="6">
        <f t="shared" si="18"/>
        <v>0</v>
      </c>
    </row>
    <row r="196" spans="7:8" x14ac:dyDescent="0.25">
      <c r="G196" s="3">
        <f t="shared" si="20"/>
        <v>0</v>
      </c>
      <c r="H196" s="6">
        <f t="shared" ref="H196:H259" si="21">COUNTIFS(L196:AC196,"&gt;=15",L196:AC196,"&lt;=99")</f>
        <v>0</v>
      </c>
    </row>
    <row r="197" spans="7:8" x14ac:dyDescent="0.25">
      <c r="G197" s="3">
        <f t="shared" si="20"/>
        <v>0</v>
      </c>
      <c r="H197" s="6">
        <f t="shared" si="21"/>
        <v>0</v>
      </c>
    </row>
    <row r="198" spans="7:8" x14ac:dyDescent="0.25">
      <c r="G198" s="3">
        <f t="shared" si="20"/>
        <v>0</v>
      </c>
      <c r="H198" s="6">
        <f t="shared" si="21"/>
        <v>0</v>
      </c>
    </row>
    <row r="199" spans="7:8" x14ac:dyDescent="0.25">
      <c r="G199" s="3">
        <f t="shared" si="20"/>
        <v>0</v>
      </c>
      <c r="H199" s="6">
        <f t="shared" si="21"/>
        <v>0</v>
      </c>
    </row>
    <row r="200" spans="7:8" x14ac:dyDescent="0.25">
      <c r="G200" s="3">
        <f t="shared" si="20"/>
        <v>0</v>
      </c>
      <c r="H200" s="6">
        <f t="shared" si="21"/>
        <v>0</v>
      </c>
    </row>
    <row r="201" spans="7:8" x14ac:dyDescent="0.25">
      <c r="G201" s="3">
        <f t="shared" si="20"/>
        <v>0</v>
      </c>
      <c r="H201" s="6">
        <f t="shared" si="21"/>
        <v>0</v>
      </c>
    </row>
    <row r="202" spans="7:8" x14ac:dyDescent="0.25">
      <c r="G202" s="3">
        <f t="shared" si="20"/>
        <v>0</v>
      </c>
      <c r="H202" s="6">
        <f t="shared" si="21"/>
        <v>0</v>
      </c>
    </row>
    <row r="203" spans="7:8" x14ac:dyDescent="0.25">
      <c r="G203" s="3">
        <f t="shared" si="20"/>
        <v>0</v>
      </c>
      <c r="H203" s="6">
        <f t="shared" si="21"/>
        <v>0</v>
      </c>
    </row>
    <row r="204" spans="7:8" x14ac:dyDescent="0.25">
      <c r="G204" s="3">
        <f t="shared" si="20"/>
        <v>0</v>
      </c>
      <c r="H204" s="6">
        <f t="shared" si="21"/>
        <v>0</v>
      </c>
    </row>
    <row r="205" spans="7:8" x14ac:dyDescent="0.25">
      <c r="G205" s="3">
        <f t="shared" si="20"/>
        <v>0</v>
      </c>
      <c r="H205" s="6">
        <f t="shared" si="21"/>
        <v>0</v>
      </c>
    </row>
    <row r="206" spans="7:8" x14ac:dyDescent="0.25">
      <c r="G206" s="3">
        <f t="shared" si="20"/>
        <v>0</v>
      </c>
      <c r="H206" s="6">
        <f t="shared" si="21"/>
        <v>0</v>
      </c>
    </row>
    <row r="207" spans="7:8" x14ac:dyDescent="0.25">
      <c r="G207" s="3">
        <f t="shared" si="20"/>
        <v>0</v>
      </c>
      <c r="H207" s="6">
        <f t="shared" si="21"/>
        <v>0</v>
      </c>
    </row>
    <row r="208" spans="7:8" x14ac:dyDescent="0.25">
      <c r="G208" s="3">
        <f t="shared" si="20"/>
        <v>0</v>
      </c>
      <c r="H208" s="6">
        <f t="shared" si="21"/>
        <v>0</v>
      </c>
    </row>
    <row r="209" spans="7:8" x14ac:dyDescent="0.25">
      <c r="G209" s="3">
        <f t="shared" si="20"/>
        <v>0</v>
      </c>
      <c r="H209" s="6">
        <f t="shared" si="21"/>
        <v>0</v>
      </c>
    </row>
    <row r="210" spans="7:8" x14ac:dyDescent="0.25">
      <c r="G210" s="3">
        <f t="shared" si="20"/>
        <v>0</v>
      </c>
      <c r="H210" s="6">
        <f t="shared" si="21"/>
        <v>0</v>
      </c>
    </row>
    <row r="211" spans="7:8" x14ac:dyDescent="0.25">
      <c r="G211" s="3">
        <f t="shared" si="20"/>
        <v>0</v>
      </c>
      <c r="H211" s="6">
        <f t="shared" si="21"/>
        <v>0</v>
      </c>
    </row>
    <row r="212" spans="7:8" x14ac:dyDescent="0.25">
      <c r="G212" s="3">
        <f t="shared" si="20"/>
        <v>0</v>
      </c>
      <c r="H212" s="6">
        <f t="shared" si="21"/>
        <v>0</v>
      </c>
    </row>
    <row r="213" spans="7:8" x14ac:dyDescent="0.25">
      <c r="G213" s="3">
        <f t="shared" si="20"/>
        <v>0</v>
      </c>
      <c r="H213" s="6">
        <f t="shared" si="21"/>
        <v>0</v>
      </c>
    </row>
    <row r="214" spans="7:8" x14ac:dyDescent="0.25">
      <c r="G214" s="3">
        <f t="shared" si="20"/>
        <v>0</v>
      </c>
      <c r="H214" s="6">
        <f t="shared" si="21"/>
        <v>0</v>
      </c>
    </row>
    <row r="215" spans="7:8" x14ac:dyDescent="0.25">
      <c r="G215" s="3">
        <f t="shared" si="20"/>
        <v>0</v>
      </c>
      <c r="H215" s="6">
        <f t="shared" si="21"/>
        <v>0</v>
      </c>
    </row>
    <row r="216" spans="7:8" x14ac:dyDescent="0.25">
      <c r="G216" s="3">
        <f t="shared" si="20"/>
        <v>0</v>
      </c>
      <c r="H216" s="6">
        <f t="shared" si="21"/>
        <v>0</v>
      </c>
    </row>
    <row r="217" spans="7:8" x14ac:dyDescent="0.25">
      <c r="G217" s="3">
        <f t="shared" si="20"/>
        <v>0</v>
      </c>
      <c r="H217" s="6">
        <f t="shared" si="21"/>
        <v>0</v>
      </c>
    </row>
    <row r="218" spans="7:8" x14ac:dyDescent="0.25">
      <c r="G218" s="3">
        <f t="shared" ref="G218:G249" si="22">COUNTIFS(M218:AD218,"&gt;=10",M218:AD218,"&lt;=99")</f>
        <v>0</v>
      </c>
      <c r="H218" s="6">
        <f t="shared" si="21"/>
        <v>0</v>
      </c>
    </row>
    <row r="219" spans="7:8" x14ac:dyDescent="0.25">
      <c r="G219" s="3">
        <f t="shared" si="22"/>
        <v>0</v>
      </c>
      <c r="H219" s="6">
        <f t="shared" si="21"/>
        <v>0</v>
      </c>
    </row>
    <row r="220" spans="7:8" x14ac:dyDescent="0.25">
      <c r="G220" s="3">
        <f t="shared" si="22"/>
        <v>0</v>
      </c>
      <c r="H220" s="6">
        <f t="shared" si="21"/>
        <v>0</v>
      </c>
    </row>
    <row r="221" spans="7:8" x14ac:dyDescent="0.25">
      <c r="G221" s="3">
        <f t="shared" si="22"/>
        <v>0</v>
      </c>
      <c r="H221" s="6">
        <f t="shared" si="21"/>
        <v>0</v>
      </c>
    </row>
    <row r="222" spans="7:8" x14ac:dyDescent="0.25">
      <c r="G222" s="3">
        <f t="shared" si="22"/>
        <v>0</v>
      </c>
      <c r="H222" s="6">
        <f t="shared" si="21"/>
        <v>0</v>
      </c>
    </row>
    <row r="223" spans="7:8" x14ac:dyDescent="0.25">
      <c r="G223" s="3">
        <f t="shared" si="22"/>
        <v>0</v>
      </c>
      <c r="H223" s="6">
        <f t="shared" si="21"/>
        <v>0</v>
      </c>
    </row>
    <row r="224" spans="7:8" x14ac:dyDescent="0.25">
      <c r="G224" s="3">
        <f t="shared" si="22"/>
        <v>0</v>
      </c>
      <c r="H224" s="6">
        <f t="shared" si="21"/>
        <v>0</v>
      </c>
    </row>
    <row r="225" spans="7:8" x14ac:dyDescent="0.25">
      <c r="G225" s="3">
        <f t="shared" si="22"/>
        <v>0</v>
      </c>
      <c r="H225" s="6">
        <f t="shared" si="21"/>
        <v>0</v>
      </c>
    </row>
    <row r="226" spans="7:8" x14ac:dyDescent="0.25">
      <c r="G226" s="3">
        <f t="shared" si="22"/>
        <v>0</v>
      </c>
      <c r="H226" s="6">
        <f t="shared" si="21"/>
        <v>0</v>
      </c>
    </row>
    <row r="227" spans="7:8" x14ac:dyDescent="0.25">
      <c r="G227" s="3">
        <f t="shared" si="22"/>
        <v>0</v>
      </c>
      <c r="H227" s="6">
        <f t="shared" si="21"/>
        <v>0</v>
      </c>
    </row>
    <row r="228" spans="7:8" x14ac:dyDescent="0.25">
      <c r="G228" s="3">
        <f t="shared" si="22"/>
        <v>0</v>
      </c>
      <c r="H228" s="6">
        <f t="shared" si="21"/>
        <v>0</v>
      </c>
    </row>
    <row r="229" spans="7:8" x14ac:dyDescent="0.25">
      <c r="G229" s="3">
        <f t="shared" si="22"/>
        <v>0</v>
      </c>
      <c r="H229" s="6">
        <f t="shared" si="21"/>
        <v>0</v>
      </c>
    </row>
    <row r="230" spans="7:8" x14ac:dyDescent="0.25">
      <c r="G230" s="3">
        <f t="shared" si="22"/>
        <v>0</v>
      </c>
      <c r="H230" s="6">
        <f t="shared" si="21"/>
        <v>0</v>
      </c>
    </row>
    <row r="231" spans="7:8" x14ac:dyDescent="0.25">
      <c r="G231" s="3">
        <f t="shared" si="22"/>
        <v>0</v>
      </c>
      <c r="H231" s="6">
        <f t="shared" si="21"/>
        <v>0</v>
      </c>
    </row>
    <row r="232" spans="7:8" x14ac:dyDescent="0.25">
      <c r="G232" s="3">
        <f t="shared" si="22"/>
        <v>0</v>
      </c>
      <c r="H232" s="6">
        <f t="shared" si="21"/>
        <v>0</v>
      </c>
    </row>
    <row r="233" spans="7:8" x14ac:dyDescent="0.25">
      <c r="G233" s="3">
        <f t="shared" si="22"/>
        <v>0</v>
      </c>
      <c r="H233" s="6">
        <f t="shared" si="21"/>
        <v>0</v>
      </c>
    </row>
    <row r="234" spans="7:8" x14ac:dyDescent="0.25">
      <c r="G234" s="3">
        <f t="shared" si="22"/>
        <v>0</v>
      </c>
      <c r="H234" s="6">
        <f t="shared" si="21"/>
        <v>0</v>
      </c>
    </row>
    <row r="235" spans="7:8" x14ac:dyDescent="0.25">
      <c r="G235" s="3">
        <f t="shared" si="22"/>
        <v>0</v>
      </c>
      <c r="H235" s="6">
        <f t="shared" si="21"/>
        <v>0</v>
      </c>
    </row>
    <row r="236" spans="7:8" x14ac:dyDescent="0.25">
      <c r="G236" s="3">
        <f t="shared" si="22"/>
        <v>0</v>
      </c>
      <c r="H236" s="6">
        <f t="shared" si="21"/>
        <v>0</v>
      </c>
    </row>
    <row r="237" spans="7:8" x14ac:dyDescent="0.25">
      <c r="G237" s="3">
        <f t="shared" si="22"/>
        <v>0</v>
      </c>
      <c r="H237" s="6">
        <f t="shared" si="21"/>
        <v>0</v>
      </c>
    </row>
    <row r="238" spans="7:8" x14ac:dyDescent="0.25">
      <c r="G238" s="3">
        <f t="shared" si="22"/>
        <v>0</v>
      </c>
      <c r="H238" s="6">
        <f t="shared" si="21"/>
        <v>0</v>
      </c>
    </row>
    <row r="239" spans="7:8" x14ac:dyDescent="0.25">
      <c r="G239" s="3">
        <f t="shared" si="22"/>
        <v>0</v>
      </c>
      <c r="H239" s="6">
        <f t="shared" si="21"/>
        <v>0</v>
      </c>
    </row>
    <row r="240" spans="7:8" x14ac:dyDescent="0.25">
      <c r="G240" s="3">
        <f t="shared" si="22"/>
        <v>0</v>
      </c>
      <c r="H240" s="6">
        <f t="shared" si="21"/>
        <v>0</v>
      </c>
    </row>
    <row r="241" spans="7:8" x14ac:dyDescent="0.25">
      <c r="G241" s="3">
        <f t="shared" si="22"/>
        <v>0</v>
      </c>
      <c r="H241" s="6">
        <f t="shared" si="21"/>
        <v>0</v>
      </c>
    </row>
    <row r="242" spans="7:8" x14ac:dyDescent="0.25">
      <c r="G242" s="3">
        <f t="shared" si="22"/>
        <v>0</v>
      </c>
      <c r="H242" s="6">
        <f t="shared" si="21"/>
        <v>0</v>
      </c>
    </row>
    <row r="243" spans="7:8" x14ac:dyDescent="0.25">
      <c r="G243" s="3">
        <f t="shared" si="22"/>
        <v>0</v>
      </c>
      <c r="H243" s="6">
        <f t="shared" si="21"/>
        <v>0</v>
      </c>
    </row>
    <row r="244" spans="7:8" x14ac:dyDescent="0.25">
      <c r="G244" s="3">
        <f t="shared" si="22"/>
        <v>0</v>
      </c>
      <c r="H244" s="6">
        <f t="shared" si="21"/>
        <v>0</v>
      </c>
    </row>
    <row r="245" spans="7:8" x14ac:dyDescent="0.25">
      <c r="G245" s="3">
        <f t="shared" si="22"/>
        <v>0</v>
      </c>
      <c r="H245" s="6">
        <f t="shared" si="21"/>
        <v>0</v>
      </c>
    </row>
    <row r="246" spans="7:8" x14ac:dyDescent="0.25">
      <c r="G246" s="3">
        <f t="shared" si="22"/>
        <v>0</v>
      </c>
      <c r="H246" s="6">
        <f t="shared" si="21"/>
        <v>0</v>
      </c>
    </row>
    <row r="247" spans="7:8" x14ac:dyDescent="0.25">
      <c r="G247" s="3">
        <f t="shared" si="22"/>
        <v>0</v>
      </c>
      <c r="H247" s="6">
        <f t="shared" si="21"/>
        <v>0</v>
      </c>
    </row>
    <row r="248" spans="7:8" x14ac:dyDescent="0.25">
      <c r="G248" s="3">
        <f t="shared" si="22"/>
        <v>0</v>
      </c>
      <c r="H248" s="6">
        <f t="shared" si="21"/>
        <v>0</v>
      </c>
    </row>
    <row r="249" spans="7:8" x14ac:dyDescent="0.25">
      <c r="G249" s="3">
        <f t="shared" si="22"/>
        <v>0</v>
      </c>
      <c r="H249" s="6">
        <f t="shared" si="21"/>
        <v>0</v>
      </c>
    </row>
    <row r="250" spans="7:8" x14ac:dyDescent="0.25">
      <c r="G250" s="3">
        <f t="shared" ref="G250:G259" si="23">COUNTIFS(M250:AD250,"&gt;=10",M250:AD250,"&lt;=99")</f>
        <v>0</v>
      </c>
      <c r="H250" s="6">
        <f t="shared" si="21"/>
        <v>0</v>
      </c>
    </row>
    <row r="251" spans="7:8" x14ac:dyDescent="0.25">
      <c r="G251" s="3">
        <f t="shared" si="23"/>
        <v>0</v>
      </c>
      <c r="H251" s="6">
        <f t="shared" si="21"/>
        <v>0</v>
      </c>
    </row>
    <row r="252" spans="7:8" x14ac:dyDescent="0.25">
      <c r="G252" s="3">
        <f t="shared" si="23"/>
        <v>0</v>
      </c>
      <c r="H252" s="6">
        <f t="shared" si="21"/>
        <v>0</v>
      </c>
    </row>
    <row r="253" spans="7:8" x14ac:dyDescent="0.25">
      <c r="G253" s="3">
        <f t="shared" si="23"/>
        <v>0</v>
      </c>
      <c r="H253" s="6">
        <f t="shared" si="21"/>
        <v>0</v>
      </c>
    </row>
    <row r="254" spans="7:8" x14ac:dyDescent="0.25">
      <c r="G254" s="3">
        <f t="shared" si="23"/>
        <v>0</v>
      </c>
      <c r="H254" s="6">
        <f t="shared" si="21"/>
        <v>0</v>
      </c>
    </row>
    <row r="255" spans="7:8" x14ac:dyDescent="0.25">
      <c r="G255" s="3">
        <f t="shared" si="23"/>
        <v>0</v>
      </c>
      <c r="H255" s="6">
        <f t="shared" si="21"/>
        <v>0</v>
      </c>
    </row>
    <row r="256" spans="7:8" x14ac:dyDescent="0.25">
      <c r="G256" s="3">
        <f t="shared" si="23"/>
        <v>0</v>
      </c>
      <c r="H256" s="6">
        <f t="shared" si="21"/>
        <v>0</v>
      </c>
    </row>
    <row r="257" spans="7:8" x14ac:dyDescent="0.25">
      <c r="G257" s="3">
        <f t="shared" si="23"/>
        <v>0</v>
      </c>
      <c r="H257" s="6">
        <f t="shared" si="21"/>
        <v>0</v>
      </c>
    </row>
    <row r="258" spans="7:8" x14ac:dyDescent="0.25">
      <c r="G258" s="3">
        <f t="shared" si="23"/>
        <v>0</v>
      </c>
      <c r="H258" s="6">
        <f t="shared" si="21"/>
        <v>0</v>
      </c>
    </row>
    <row r="259" spans="7:8" x14ac:dyDescent="0.25">
      <c r="G259" s="3">
        <f t="shared" si="23"/>
        <v>0</v>
      </c>
      <c r="H259" s="6">
        <f t="shared" si="21"/>
        <v>0</v>
      </c>
    </row>
  </sheetData>
  <sortState xmlns:xlrd2="http://schemas.microsoft.com/office/spreadsheetml/2017/richdata2" ref="A2:AF89">
    <sortCondition ref="A2:A89"/>
  </sortState>
  <conditionalFormatting sqref="L2:AC49">
    <cfRule type="cellIs" dxfId="31" priority="1" operator="lessThan">
      <formula>15.6</formula>
    </cfRule>
    <cfRule type="cellIs" dxfId="30" priority="2" operator="greaterThanOrEqual">
      <formula>15.6</formula>
    </cfRule>
  </conditionalFormatting>
  <conditionalFormatting sqref="AF37">
    <cfRule type="cellIs" dxfId="29" priority="3" operator="greaterThanOrEqual">
      <formula>11.45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DC00-7E50-4ACD-B569-B123CFE52374}">
  <dimension ref="A1:AF15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defaultColWidth="9.140625" defaultRowHeight="15" x14ac:dyDescent="0.25"/>
  <cols>
    <col min="1" max="1" width="4" style="3" bestFit="1" customWidth="1"/>
    <col min="2" max="2" width="21" style="3" bestFit="1" customWidth="1"/>
    <col min="3" max="3" width="5.85546875" style="3" bestFit="1" customWidth="1"/>
    <col min="4" max="4" width="5.85546875" style="3" customWidth="1"/>
    <col min="5" max="5" width="5" style="3" bestFit="1" customWidth="1"/>
    <col min="6" max="6" width="6" style="3" bestFit="1" customWidth="1"/>
    <col min="7" max="7" width="10.7109375" style="3" bestFit="1" customWidth="1"/>
    <col min="8" max="8" width="10.7109375" style="3" customWidth="1"/>
    <col min="9" max="10" width="10.7109375" style="3" bestFit="1" customWidth="1"/>
    <col min="11" max="11" width="13.85546875" style="3" bestFit="1" customWidth="1"/>
    <col min="12" max="29" width="5" style="3" bestFit="1" customWidth="1"/>
    <col min="30" max="16384" width="9.140625" style="3"/>
  </cols>
  <sheetData>
    <row r="1" spans="1:29" s="2" customFormat="1" x14ac:dyDescent="0.25">
      <c r="A1" s="2" t="s">
        <v>0</v>
      </c>
      <c r="B1" s="2" t="s">
        <v>1</v>
      </c>
      <c r="C1" s="2" t="s">
        <v>2</v>
      </c>
      <c r="D1" s="2" t="s">
        <v>462</v>
      </c>
      <c r="E1" s="2" t="s">
        <v>3</v>
      </c>
      <c r="F1" s="2" t="s">
        <v>4</v>
      </c>
      <c r="G1" s="2" t="s">
        <v>113</v>
      </c>
      <c r="H1" s="2" t="s">
        <v>825</v>
      </c>
      <c r="I1" s="2" t="s">
        <v>114</v>
      </c>
      <c r="J1" s="2" t="s">
        <v>115</v>
      </c>
      <c r="K1" s="2" t="s">
        <v>112</v>
      </c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V1" s="2">
        <v>11</v>
      </c>
      <c r="W1" s="2">
        <v>12</v>
      </c>
      <c r="X1" s="2">
        <v>13</v>
      </c>
      <c r="Y1" s="2">
        <v>14</v>
      </c>
      <c r="Z1" s="2">
        <v>15</v>
      </c>
      <c r="AA1" s="2">
        <v>16</v>
      </c>
      <c r="AB1" s="2">
        <v>17</v>
      </c>
      <c r="AC1" s="2">
        <v>18</v>
      </c>
    </row>
    <row r="2" spans="1:29" x14ac:dyDescent="0.25">
      <c r="A2">
        <v>3</v>
      </c>
      <c r="B2" t="s">
        <v>13</v>
      </c>
      <c r="C2" t="s">
        <v>14</v>
      </c>
      <c r="D2" s="6">
        <f t="shared" ref="D2:D33" si="0">MEDIAN(L2:AC2)</f>
        <v>21.5</v>
      </c>
      <c r="E2">
        <v>20.100000000000001</v>
      </c>
      <c r="F2">
        <v>341.7</v>
      </c>
      <c r="G2" s="3">
        <f t="shared" ref="G2:G33" si="1">COUNTIFS(L2:AC2,"&gt;=10",L2:AC2,"&lt;=99")</f>
        <v>17</v>
      </c>
      <c r="H2" s="3">
        <f t="shared" ref="H2:H33" si="2">COUNTIFS(L2:AC2,"&gt;=15",L2:AC2,"&lt;=99")</f>
        <v>12</v>
      </c>
      <c r="I2" s="3">
        <f t="shared" ref="I2:I33" si="3">COUNTIFS(L2:AC2,"&gt;=20",L2:AC2,"&lt;=99")</f>
        <v>10</v>
      </c>
      <c r="J2" s="3">
        <f t="shared" ref="J2:J33" si="4">COUNTIFS(L2:AC2,"&gt;=30",L2:AC2,"&lt;=99")</f>
        <v>1</v>
      </c>
      <c r="K2" s="3">
        <f t="shared" ref="K2:K33" si="5">COUNT(L2:AC2)</f>
        <v>17</v>
      </c>
      <c r="L2">
        <v>16.100000000000001</v>
      </c>
      <c r="M2">
        <v>16.2</v>
      </c>
      <c r="N2">
        <v>13.2</v>
      </c>
      <c r="O2">
        <v>11.4</v>
      </c>
      <c r="P2">
        <v>10.7</v>
      </c>
      <c r="Q2">
        <v>25.5</v>
      </c>
      <c r="R2">
        <v>23.3</v>
      </c>
      <c r="S2">
        <v>23.6</v>
      </c>
      <c r="T2">
        <v>21.5</v>
      </c>
      <c r="U2">
        <v>29.4</v>
      </c>
      <c r="V2">
        <v>10.3</v>
      </c>
      <c r="W2" t="s">
        <v>7</v>
      </c>
      <c r="X2">
        <v>25.5</v>
      </c>
      <c r="Y2">
        <v>20.100000000000001</v>
      </c>
      <c r="Z2">
        <v>14.5</v>
      </c>
      <c r="AA2">
        <v>24.3</v>
      </c>
      <c r="AB2">
        <v>24.8</v>
      </c>
      <c r="AC2">
        <v>31.3</v>
      </c>
    </row>
    <row r="3" spans="1:29" x14ac:dyDescent="0.25">
      <c r="A3">
        <v>1</v>
      </c>
      <c r="B3" t="s">
        <v>9</v>
      </c>
      <c r="C3" t="s">
        <v>10</v>
      </c>
      <c r="D3" s="6">
        <f t="shared" si="0"/>
        <v>19.3</v>
      </c>
      <c r="E3">
        <v>21.3</v>
      </c>
      <c r="F3">
        <v>362.9</v>
      </c>
      <c r="G3" s="3">
        <f t="shared" si="1"/>
        <v>17</v>
      </c>
      <c r="H3" s="3">
        <f t="shared" si="2"/>
        <v>13</v>
      </c>
      <c r="I3" s="3">
        <f t="shared" si="3"/>
        <v>7</v>
      </c>
      <c r="J3" s="3">
        <f t="shared" si="4"/>
        <v>2</v>
      </c>
      <c r="K3" s="3">
        <f t="shared" si="5"/>
        <v>17</v>
      </c>
      <c r="L3">
        <v>17.399999999999999</v>
      </c>
      <c r="M3">
        <v>17.600000000000001</v>
      </c>
      <c r="N3">
        <v>16.3</v>
      </c>
      <c r="O3">
        <v>19.8</v>
      </c>
      <c r="P3" t="s">
        <v>7</v>
      </c>
      <c r="Q3">
        <v>12.1</v>
      </c>
      <c r="R3">
        <v>32</v>
      </c>
      <c r="S3">
        <v>20.3</v>
      </c>
      <c r="T3">
        <v>14.6</v>
      </c>
      <c r="U3">
        <v>12.8</v>
      </c>
      <c r="V3">
        <v>19.3</v>
      </c>
      <c r="W3">
        <v>24.9</v>
      </c>
      <c r="X3">
        <v>10.4</v>
      </c>
      <c r="Y3">
        <v>19.3</v>
      </c>
      <c r="Z3">
        <v>28.4</v>
      </c>
      <c r="AA3">
        <v>25.4</v>
      </c>
      <c r="AB3">
        <v>26.3</v>
      </c>
      <c r="AC3">
        <v>46</v>
      </c>
    </row>
    <row r="4" spans="1:29" x14ac:dyDescent="0.25">
      <c r="A4">
        <v>2</v>
      </c>
      <c r="B4" t="s">
        <v>5</v>
      </c>
      <c r="C4" t="s">
        <v>6</v>
      </c>
      <c r="D4" s="6">
        <f t="shared" si="0"/>
        <v>19.299999999999997</v>
      </c>
      <c r="E4">
        <v>22.2</v>
      </c>
      <c r="F4">
        <v>355.3</v>
      </c>
      <c r="G4" s="3">
        <f t="shared" si="1"/>
        <v>13</v>
      </c>
      <c r="H4" s="3">
        <f t="shared" si="2"/>
        <v>10</v>
      </c>
      <c r="I4" s="3">
        <f t="shared" si="3"/>
        <v>7</v>
      </c>
      <c r="J4" s="3">
        <f t="shared" si="4"/>
        <v>5</v>
      </c>
      <c r="K4" s="3">
        <f t="shared" si="5"/>
        <v>16</v>
      </c>
      <c r="L4">
        <v>33.200000000000003</v>
      </c>
      <c r="M4">
        <v>17.600000000000001</v>
      </c>
      <c r="N4">
        <v>33.6</v>
      </c>
      <c r="O4">
        <v>13.6</v>
      </c>
      <c r="P4" t="s">
        <v>7</v>
      </c>
      <c r="Q4">
        <v>7.4</v>
      </c>
      <c r="R4">
        <v>26.7</v>
      </c>
      <c r="S4">
        <v>12.1</v>
      </c>
      <c r="T4">
        <v>32.9</v>
      </c>
      <c r="U4">
        <v>8.8000000000000007</v>
      </c>
      <c r="V4">
        <v>33.799999999999997</v>
      </c>
      <c r="W4">
        <v>46.2</v>
      </c>
      <c r="X4">
        <v>19.7</v>
      </c>
      <c r="Y4">
        <v>14.4</v>
      </c>
      <c r="Z4">
        <v>9.4</v>
      </c>
      <c r="AA4">
        <v>27</v>
      </c>
      <c r="AB4">
        <v>18.899999999999999</v>
      </c>
      <c r="AC4" t="s">
        <v>8</v>
      </c>
    </row>
    <row r="5" spans="1:29" x14ac:dyDescent="0.25">
      <c r="A5">
        <v>5</v>
      </c>
      <c r="B5" t="s">
        <v>17</v>
      </c>
      <c r="C5" t="s">
        <v>18</v>
      </c>
      <c r="D5" s="6">
        <f t="shared" si="0"/>
        <v>18.899999999999999</v>
      </c>
      <c r="E5">
        <v>17.600000000000001</v>
      </c>
      <c r="F5">
        <v>299.89999999999998</v>
      </c>
      <c r="G5" s="3">
        <f t="shared" si="1"/>
        <v>13</v>
      </c>
      <c r="H5" s="3">
        <f t="shared" si="2"/>
        <v>10</v>
      </c>
      <c r="I5" s="3">
        <f t="shared" si="3"/>
        <v>8</v>
      </c>
      <c r="J5" s="3">
        <f t="shared" si="4"/>
        <v>2</v>
      </c>
      <c r="K5" s="3">
        <f t="shared" si="5"/>
        <v>17</v>
      </c>
      <c r="L5">
        <v>23</v>
      </c>
      <c r="M5">
        <v>29.5</v>
      </c>
      <c r="N5">
        <v>8.8000000000000007</v>
      </c>
      <c r="O5">
        <v>5.9</v>
      </c>
      <c r="P5">
        <v>2.7</v>
      </c>
      <c r="Q5" t="s">
        <v>7</v>
      </c>
      <c r="R5">
        <v>10.5</v>
      </c>
      <c r="S5">
        <v>26.7</v>
      </c>
      <c r="T5">
        <v>32.1</v>
      </c>
      <c r="U5">
        <v>10.199999999999999</v>
      </c>
      <c r="V5">
        <v>20.5</v>
      </c>
      <c r="W5">
        <v>20.6</v>
      </c>
      <c r="X5">
        <v>21</v>
      </c>
      <c r="Y5">
        <v>18.899999999999999</v>
      </c>
      <c r="Z5">
        <v>14.6</v>
      </c>
      <c r="AA5">
        <v>31</v>
      </c>
      <c r="AB5">
        <v>5.8</v>
      </c>
      <c r="AC5">
        <v>18.100000000000001</v>
      </c>
    </row>
    <row r="6" spans="1:29" x14ac:dyDescent="0.25">
      <c r="A6">
        <v>17</v>
      </c>
      <c r="B6" t="s">
        <v>31</v>
      </c>
      <c r="C6" t="s">
        <v>32</v>
      </c>
      <c r="D6" s="6">
        <f t="shared" si="0"/>
        <v>16.8</v>
      </c>
      <c r="E6">
        <v>17.2</v>
      </c>
      <c r="F6">
        <v>240.5</v>
      </c>
      <c r="G6" s="3">
        <f t="shared" si="1"/>
        <v>9</v>
      </c>
      <c r="H6" s="3">
        <f t="shared" si="2"/>
        <v>8</v>
      </c>
      <c r="I6" s="3">
        <f t="shared" si="3"/>
        <v>6</v>
      </c>
      <c r="J6" s="3">
        <f t="shared" si="4"/>
        <v>1</v>
      </c>
      <c r="K6" s="3">
        <f t="shared" si="5"/>
        <v>14</v>
      </c>
      <c r="L6">
        <v>26.8</v>
      </c>
      <c r="M6">
        <v>8</v>
      </c>
      <c r="N6" t="s">
        <v>8</v>
      </c>
      <c r="O6" t="s">
        <v>8</v>
      </c>
      <c r="P6" t="s">
        <v>8</v>
      </c>
      <c r="Q6">
        <v>27.2</v>
      </c>
      <c r="R6">
        <v>26.4</v>
      </c>
      <c r="S6">
        <v>23.4</v>
      </c>
      <c r="T6">
        <v>16.600000000000001</v>
      </c>
      <c r="U6">
        <v>17</v>
      </c>
      <c r="V6">
        <v>35.299999999999997</v>
      </c>
      <c r="W6">
        <v>9.5</v>
      </c>
      <c r="X6">
        <v>21.9</v>
      </c>
      <c r="Y6" t="s">
        <v>7</v>
      </c>
      <c r="Z6">
        <v>10.6</v>
      </c>
      <c r="AA6">
        <v>8.1</v>
      </c>
      <c r="AB6">
        <v>5.9</v>
      </c>
      <c r="AC6">
        <v>3.8</v>
      </c>
    </row>
    <row r="7" spans="1:29" x14ac:dyDescent="0.25">
      <c r="A7">
        <v>8</v>
      </c>
      <c r="B7" t="s">
        <v>21</v>
      </c>
      <c r="C7" t="s">
        <v>22</v>
      </c>
      <c r="D7" s="6">
        <f t="shared" si="0"/>
        <v>16.7</v>
      </c>
      <c r="E7">
        <v>16.7</v>
      </c>
      <c r="F7">
        <v>266.7</v>
      </c>
      <c r="G7" s="3">
        <f t="shared" si="1"/>
        <v>12</v>
      </c>
      <c r="H7" s="3">
        <f t="shared" si="2"/>
        <v>9</v>
      </c>
      <c r="I7" s="3">
        <f t="shared" si="3"/>
        <v>4</v>
      </c>
      <c r="J7" s="3">
        <f t="shared" si="4"/>
        <v>0</v>
      </c>
      <c r="K7" s="3">
        <f t="shared" si="5"/>
        <v>16</v>
      </c>
      <c r="L7">
        <v>13.3</v>
      </c>
      <c r="M7">
        <v>28.5</v>
      </c>
      <c r="N7">
        <v>18.7</v>
      </c>
      <c r="O7">
        <v>5.8</v>
      </c>
      <c r="P7">
        <v>17.899999999999999</v>
      </c>
      <c r="Q7" t="s">
        <v>8</v>
      </c>
      <c r="R7">
        <v>9.1999999999999993</v>
      </c>
      <c r="S7">
        <v>28.3</v>
      </c>
      <c r="T7">
        <v>11.9</v>
      </c>
      <c r="U7">
        <v>15.5</v>
      </c>
      <c r="V7">
        <v>19.7</v>
      </c>
      <c r="W7" t="s">
        <v>7</v>
      </c>
      <c r="X7">
        <v>19</v>
      </c>
      <c r="Y7">
        <v>4.9000000000000004</v>
      </c>
      <c r="Z7">
        <v>26.3</v>
      </c>
      <c r="AA7">
        <v>27.6</v>
      </c>
      <c r="AB7">
        <v>11.3</v>
      </c>
      <c r="AC7">
        <v>8.8000000000000007</v>
      </c>
    </row>
    <row r="8" spans="1:29" x14ac:dyDescent="0.25">
      <c r="A8">
        <v>4</v>
      </c>
      <c r="B8" t="s">
        <v>11</v>
      </c>
      <c r="C8" t="s">
        <v>12</v>
      </c>
      <c r="D8" s="6">
        <f t="shared" si="0"/>
        <v>16.600000000000001</v>
      </c>
      <c r="E8">
        <v>19.8</v>
      </c>
      <c r="F8">
        <v>336.4</v>
      </c>
      <c r="G8" s="3">
        <f t="shared" si="1"/>
        <v>16</v>
      </c>
      <c r="H8" s="3">
        <f t="shared" si="2"/>
        <v>10</v>
      </c>
      <c r="I8" s="3">
        <f t="shared" si="3"/>
        <v>8</v>
      </c>
      <c r="J8" s="3">
        <f t="shared" si="4"/>
        <v>3</v>
      </c>
      <c r="K8" s="3">
        <f t="shared" si="5"/>
        <v>17</v>
      </c>
      <c r="L8">
        <v>10.6</v>
      </c>
      <c r="M8">
        <v>16.600000000000001</v>
      </c>
      <c r="N8">
        <v>30.4</v>
      </c>
      <c r="O8">
        <v>35.9</v>
      </c>
      <c r="P8">
        <v>16.600000000000001</v>
      </c>
      <c r="Q8">
        <v>25.2</v>
      </c>
      <c r="R8">
        <v>25.2</v>
      </c>
      <c r="S8">
        <v>14.7</v>
      </c>
      <c r="T8">
        <v>26.3</v>
      </c>
      <c r="U8">
        <v>14.1</v>
      </c>
      <c r="V8">
        <v>10.5</v>
      </c>
      <c r="W8">
        <v>14</v>
      </c>
      <c r="X8">
        <v>14.1</v>
      </c>
      <c r="Y8" t="s">
        <v>7</v>
      </c>
      <c r="Z8">
        <v>6.7</v>
      </c>
      <c r="AA8">
        <v>20.9</v>
      </c>
      <c r="AB8">
        <v>24.5</v>
      </c>
      <c r="AC8">
        <v>30.1</v>
      </c>
    </row>
    <row r="9" spans="1:29" x14ac:dyDescent="0.25">
      <c r="A9">
        <v>9</v>
      </c>
      <c r="B9" t="s">
        <v>25</v>
      </c>
      <c r="C9" t="s">
        <v>26</v>
      </c>
      <c r="D9" s="6">
        <f t="shared" si="0"/>
        <v>16.45</v>
      </c>
      <c r="E9">
        <v>19</v>
      </c>
      <c r="F9">
        <v>265.3</v>
      </c>
      <c r="G9" s="3">
        <f t="shared" si="1"/>
        <v>13</v>
      </c>
      <c r="H9" s="3">
        <f t="shared" si="2"/>
        <v>10</v>
      </c>
      <c r="I9" s="3">
        <f t="shared" si="3"/>
        <v>4</v>
      </c>
      <c r="J9" s="3">
        <f t="shared" si="4"/>
        <v>1</v>
      </c>
      <c r="K9" s="3">
        <f t="shared" si="5"/>
        <v>14</v>
      </c>
      <c r="L9">
        <v>22</v>
      </c>
      <c r="M9">
        <v>44</v>
      </c>
      <c r="N9">
        <v>15.7</v>
      </c>
      <c r="O9">
        <v>24.9</v>
      </c>
      <c r="P9">
        <v>12.6</v>
      </c>
      <c r="Q9">
        <v>17.399999999999999</v>
      </c>
      <c r="R9">
        <v>8.4</v>
      </c>
      <c r="S9">
        <v>18.2</v>
      </c>
      <c r="T9">
        <v>27.5</v>
      </c>
      <c r="U9">
        <v>15.9</v>
      </c>
      <c r="V9">
        <v>12.9</v>
      </c>
      <c r="W9" t="s">
        <v>7</v>
      </c>
      <c r="X9">
        <v>15.9</v>
      </c>
      <c r="Y9">
        <v>12.9</v>
      </c>
      <c r="Z9">
        <v>17</v>
      </c>
      <c r="AA9" t="s">
        <v>8</v>
      </c>
      <c r="AB9" t="s">
        <v>8</v>
      </c>
      <c r="AC9" t="s">
        <v>8</v>
      </c>
    </row>
    <row r="10" spans="1:29" x14ac:dyDescent="0.25">
      <c r="A10">
        <v>6</v>
      </c>
      <c r="B10" t="s">
        <v>15</v>
      </c>
      <c r="C10" t="s">
        <v>16</v>
      </c>
      <c r="D10" s="6">
        <f t="shared" si="0"/>
        <v>16.399999999999999</v>
      </c>
      <c r="E10">
        <v>17.2</v>
      </c>
      <c r="F10">
        <v>293.10000000000002</v>
      </c>
      <c r="G10" s="3">
        <f t="shared" si="1"/>
        <v>16</v>
      </c>
      <c r="H10" s="3">
        <f t="shared" si="2"/>
        <v>9</v>
      </c>
      <c r="I10" s="3">
        <f t="shared" si="3"/>
        <v>8</v>
      </c>
      <c r="J10" s="3">
        <f t="shared" si="4"/>
        <v>0</v>
      </c>
      <c r="K10" s="3">
        <f t="shared" si="5"/>
        <v>17</v>
      </c>
      <c r="L10">
        <v>12.4</v>
      </c>
      <c r="M10">
        <v>13.1</v>
      </c>
      <c r="N10">
        <v>5.8</v>
      </c>
      <c r="O10">
        <v>11.8</v>
      </c>
      <c r="P10">
        <v>16.399999999999999</v>
      </c>
      <c r="Q10">
        <v>12</v>
      </c>
      <c r="R10">
        <v>20.2</v>
      </c>
      <c r="S10">
        <v>25.5</v>
      </c>
      <c r="T10">
        <v>12.8</v>
      </c>
      <c r="U10" t="s">
        <v>7</v>
      </c>
      <c r="V10">
        <v>23.4</v>
      </c>
      <c r="W10">
        <v>28.6</v>
      </c>
      <c r="X10">
        <v>21.7</v>
      </c>
      <c r="Y10">
        <v>24.6</v>
      </c>
      <c r="Z10">
        <v>21.6</v>
      </c>
      <c r="AA10">
        <v>20.7</v>
      </c>
      <c r="AB10">
        <v>10.9</v>
      </c>
      <c r="AC10">
        <v>11.6</v>
      </c>
    </row>
    <row r="11" spans="1:29" x14ac:dyDescent="0.25">
      <c r="A11">
        <v>12</v>
      </c>
      <c r="B11" t="s">
        <v>23</v>
      </c>
      <c r="C11" t="s">
        <v>24</v>
      </c>
      <c r="D11" s="6">
        <f t="shared" si="0"/>
        <v>16.399999999999999</v>
      </c>
      <c r="E11">
        <v>17.5</v>
      </c>
      <c r="F11">
        <v>244.7</v>
      </c>
      <c r="G11" s="3">
        <f t="shared" si="1"/>
        <v>11</v>
      </c>
      <c r="H11" s="3">
        <f t="shared" si="2"/>
        <v>8</v>
      </c>
      <c r="I11" s="3">
        <f t="shared" si="3"/>
        <v>4</v>
      </c>
      <c r="J11" s="3">
        <f t="shared" si="4"/>
        <v>1</v>
      </c>
      <c r="K11" s="3">
        <f t="shared" si="5"/>
        <v>14</v>
      </c>
      <c r="L11">
        <v>10.8</v>
      </c>
      <c r="M11">
        <v>15.5</v>
      </c>
      <c r="N11">
        <v>26.5</v>
      </c>
      <c r="O11">
        <v>19.8</v>
      </c>
      <c r="P11" t="s">
        <v>8</v>
      </c>
      <c r="Q11" t="s">
        <v>8</v>
      </c>
      <c r="R11" t="s">
        <v>8</v>
      </c>
      <c r="S11">
        <v>18.7</v>
      </c>
      <c r="T11">
        <v>8.9</v>
      </c>
      <c r="U11">
        <v>14.2</v>
      </c>
      <c r="V11">
        <v>7</v>
      </c>
      <c r="W11">
        <v>3.5</v>
      </c>
      <c r="X11">
        <v>17.3</v>
      </c>
      <c r="Y11" t="s">
        <v>7</v>
      </c>
      <c r="Z11">
        <v>10.1</v>
      </c>
      <c r="AA11">
        <v>39.799999999999997</v>
      </c>
      <c r="AB11">
        <v>27.6</v>
      </c>
      <c r="AC11">
        <v>25</v>
      </c>
    </row>
    <row r="12" spans="1:29" x14ac:dyDescent="0.25">
      <c r="A12">
        <v>11</v>
      </c>
      <c r="B12" t="s">
        <v>27</v>
      </c>
      <c r="C12" t="s">
        <v>28</v>
      </c>
      <c r="D12" s="6">
        <f t="shared" si="0"/>
        <v>16.05</v>
      </c>
      <c r="E12">
        <v>15.9</v>
      </c>
      <c r="F12">
        <v>253.8</v>
      </c>
      <c r="G12" s="3">
        <f t="shared" si="1"/>
        <v>12</v>
      </c>
      <c r="H12" s="3">
        <f t="shared" si="2"/>
        <v>8</v>
      </c>
      <c r="I12" s="3">
        <f t="shared" si="3"/>
        <v>4</v>
      </c>
      <c r="J12" s="3">
        <f t="shared" si="4"/>
        <v>1</v>
      </c>
      <c r="K12" s="3">
        <f t="shared" si="5"/>
        <v>16</v>
      </c>
      <c r="L12">
        <v>19.3</v>
      </c>
      <c r="M12">
        <v>19.399999999999999</v>
      </c>
      <c r="N12">
        <v>3.5</v>
      </c>
      <c r="O12">
        <v>18.3</v>
      </c>
      <c r="P12">
        <v>14</v>
      </c>
      <c r="Q12">
        <v>6.6</v>
      </c>
      <c r="R12">
        <v>17.2</v>
      </c>
      <c r="S12">
        <v>14.9</v>
      </c>
      <c r="T12">
        <v>14.9</v>
      </c>
      <c r="U12">
        <v>22.3</v>
      </c>
      <c r="V12" t="s">
        <v>7</v>
      </c>
      <c r="W12">
        <v>9.9</v>
      </c>
      <c r="X12">
        <v>11.1</v>
      </c>
      <c r="Y12">
        <v>22.2</v>
      </c>
      <c r="Z12">
        <v>30.8</v>
      </c>
      <c r="AA12">
        <v>26.6</v>
      </c>
      <c r="AB12">
        <v>2.8</v>
      </c>
      <c r="AC12" t="s">
        <v>8</v>
      </c>
    </row>
    <row r="13" spans="1:29" x14ac:dyDescent="0.25">
      <c r="A13">
        <v>18</v>
      </c>
      <c r="B13" t="s">
        <v>41</v>
      </c>
      <c r="C13" t="s">
        <v>10</v>
      </c>
      <c r="D13" s="6">
        <f t="shared" si="0"/>
        <v>15.850000000000001</v>
      </c>
      <c r="E13">
        <v>15.8</v>
      </c>
      <c r="F13">
        <v>221.7</v>
      </c>
      <c r="G13" s="3">
        <f t="shared" si="1"/>
        <v>12</v>
      </c>
      <c r="H13" s="3">
        <f t="shared" si="2"/>
        <v>9</v>
      </c>
      <c r="I13" s="3">
        <f t="shared" si="3"/>
        <v>3</v>
      </c>
      <c r="J13" s="3">
        <f t="shared" si="4"/>
        <v>0</v>
      </c>
      <c r="K13" s="3">
        <f t="shared" si="5"/>
        <v>14</v>
      </c>
      <c r="L13">
        <v>16.3</v>
      </c>
      <c r="M13">
        <v>17</v>
      </c>
      <c r="N13">
        <v>21.2</v>
      </c>
      <c r="O13">
        <v>15</v>
      </c>
      <c r="P13" t="s">
        <v>7</v>
      </c>
      <c r="Q13">
        <v>21</v>
      </c>
      <c r="R13">
        <v>8</v>
      </c>
      <c r="S13">
        <v>14.9</v>
      </c>
      <c r="T13">
        <v>12.6</v>
      </c>
      <c r="U13">
        <v>12.6</v>
      </c>
      <c r="V13">
        <v>24.5</v>
      </c>
      <c r="W13">
        <v>16.3</v>
      </c>
      <c r="X13">
        <v>15.4</v>
      </c>
      <c r="Y13">
        <v>19.399999999999999</v>
      </c>
      <c r="Z13">
        <v>7.5</v>
      </c>
      <c r="AA13" t="s">
        <v>8</v>
      </c>
      <c r="AB13" t="s">
        <v>8</v>
      </c>
      <c r="AC13" t="s">
        <v>8</v>
      </c>
    </row>
    <row r="14" spans="1:29" x14ac:dyDescent="0.25">
      <c r="A14">
        <v>7</v>
      </c>
      <c r="B14" t="s">
        <v>19</v>
      </c>
      <c r="C14" t="s">
        <v>20</v>
      </c>
      <c r="D14" s="6">
        <f t="shared" si="0"/>
        <v>15.85</v>
      </c>
      <c r="E14">
        <v>17</v>
      </c>
      <c r="F14">
        <v>272.10000000000002</v>
      </c>
      <c r="G14" s="3">
        <f t="shared" si="1"/>
        <v>15</v>
      </c>
      <c r="H14" s="3">
        <f t="shared" si="2"/>
        <v>10</v>
      </c>
      <c r="I14" s="3">
        <f t="shared" si="3"/>
        <v>4</v>
      </c>
      <c r="J14" s="3">
        <f t="shared" si="4"/>
        <v>1</v>
      </c>
      <c r="K14" s="3">
        <f t="shared" si="5"/>
        <v>16</v>
      </c>
      <c r="L14">
        <v>14.4</v>
      </c>
      <c r="M14">
        <v>15.2</v>
      </c>
      <c r="N14">
        <v>31.6</v>
      </c>
      <c r="O14">
        <v>20.399999999999999</v>
      </c>
      <c r="P14">
        <v>15.5</v>
      </c>
      <c r="Q14" t="s">
        <v>7</v>
      </c>
      <c r="R14">
        <v>19.600000000000001</v>
      </c>
      <c r="S14">
        <v>22.6</v>
      </c>
      <c r="T14">
        <v>10.5</v>
      </c>
      <c r="U14">
        <v>11.2</v>
      </c>
      <c r="V14">
        <v>8.6</v>
      </c>
      <c r="W14">
        <v>11.2</v>
      </c>
      <c r="X14">
        <v>18.3</v>
      </c>
      <c r="Y14">
        <v>23.7</v>
      </c>
      <c r="Z14">
        <v>13.2</v>
      </c>
      <c r="AA14">
        <v>19.899999999999999</v>
      </c>
      <c r="AB14">
        <v>16.2</v>
      </c>
      <c r="AC14" t="s">
        <v>8</v>
      </c>
    </row>
    <row r="15" spans="1:29" x14ac:dyDescent="0.25">
      <c r="A15">
        <v>13</v>
      </c>
      <c r="B15" t="s">
        <v>33</v>
      </c>
      <c r="C15" t="s">
        <v>34</v>
      </c>
      <c r="D15" s="6">
        <f t="shared" si="0"/>
        <v>15.4</v>
      </c>
      <c r="E15">
        <v>14.4</v>
      </c>
      <c r="F15">
        <v>244.4</v>
      </c>
      <c r="G15" s="3">
        <f t="shared" si="1"/>
        <v>12</v>
      </c>
      <c r="H15" s="3">
        <f t="shared" si="2"/>
        <v>9</v>
      </c>
      <c r="I15" s="3">
        <f t="shared" si="3"/>
        <v>3</v>
      </c>
      <c r="J15" s="3">
        <f t="shared" si="4"/>
        <v>0</v>
      </c>
      <c r="K15" s="3">
        <f t="shared" si="5"/>
        <v>17</v>
      </c>
      <c r="L15">
        <v>9.6</v>
      </c>
      <c r="M15">
        <v>2.2000000000000002</v>
      </c>
      <c r="N15">
        <v>11.4</v>
      </c>
      <c r="O15">
        <v>12.5</v>
      </c>
      <c r="P15">
        <v>5.6</v>
      </c>
      <c r="Q15">
        <v>18.5</v>
      </c>
      <c r="R15">
        <v>16.7</v>
      </c>
      <c r="S15">
        <v>15.4</v>
      </c>
      <c r="T15">
        <v>6.4</v>
      </c>
      <c r="U15">
        <v>17.7</v>
      </c>
      <c r="V15" t="s">
        <v>7</v>
      </c>
      <c r="W15">
        <v>27.2</v>
      </c>
      <c r="X15">
        <v>27.5</v>
      </c>
      <c r="Y15">
        <v>2.8</v>
      </c>
      <c r="Z15">
        <v>13.3</v>
      </c>
      <c r="AA15">
        <v>18.2</v>
      </c>
      <c r="AB15">
        <v>23</v>
      </c>
      <c r="AC15">
        <v>16.399999999999999</v>
      </c>
    </row>
    <row r="16" spans="1:29" x14ac:dyDescent="0.25">
      <c r="A16">
        <v>10</v>
      </c>
      <c r="B16" t="s">
        <v>29</v>
      </c>
      <c r="C16" t="s">
        <v>30</v>
      </c>
      <c r="D16" s="6">
        <f t="shared" si="0"/>
        <v>15.399999999999999</v>
      </c>
      <c r="E16">
        <v>15.9</v>
      </c>
      <c r="F16">
        <v>255</v>
      </c>
      <c r="G16" s="3">
        <f t="shared" si="1"/>
        <v>12</v>
      </c>
      <c r="H16" s="3">
        <f t="shared" si="2"/>
        <v>8</v>
      </c>
      <c r="I16" s="3">
        <f t="shared" si="3"/>
        <v>5</v>
      </c>
      <c r="J16" s="3">
        <f t="shared" si="4"/>
        <v>0</v>
      </c>
      <c r="K16" s="3">
        <f t="shared" si="5"/>
        <v>16</v>
      </c>
      <c r="L16">
        <v>5.3</v>
      </c>
      <c r="M16">
        <v>3.1</v>
      </c>
      <c r="N16">
        <v>8.9</v>
      </c>
      <c r="O16">
        <v>23.2</v>
      </c>
      <c r="P16">
        <v>16.399999999999999</v>
      </c>
      <c r="Q16">
        <v>14.4</v>
      </c>
      <c r="R16">
        <v>7.3</v>
      </c>
      <c r="S16">
        <v>11.4</v>
      </c>
      <c r="T16">
        <v>26.7</v>
      </c>
      <c r="U16">
        <v>22.4</v>
      </c>
      <c r="V16">
        <v>19.3</v>
      </c>
      <c r="W16" t="s">
        <v>7</v>
      </c>
      <c r="X16">
        <v>19</v>
      </c>
      <c r="Y16">
        <v>24.3</v>
      </c>
      <c r="Z16">
        <v>26.3</v>
      </c>
      <c r="AA16">
        <v>13.9</v>
      </c>
      <c r="AB16">
        <v>13.1</v>
      </c>
      <c r="AC16" t="s">
        <v>8</v>
      </c>
    </row>
    <row r="17" spans="1:29" x14ac:dyDescent="0.25">
      <c r="A17">
        <v>14</v>
      </c>
      <c r="B17" t="s">
        <v>35</v>
      </c>
      <c r="C17" t="s">
        <v>36</v>
      </c>
      <c r="D17" s="6">
        <f t="shared" si="0"/>
        <v>15.3</v>
      </c>
      <c r="E17">
        <v>16.100000000000001</v>
      </c>
      <c r="F17">
        <v>241.6</v>
      </c>
      <c r="G17" s="3">
        <f t="shared" si="1"/>
        <v>11</v>
      </c>
      <c r="H17" s="3">
        <f t="shared" si="2"/>
        <v>9</v>
      </c>
      <c r="I17" s="3">
        <f t="shared" si="3"/>
        <v>6</v>
      </c>
      <c r="J17" s="3">
        <f t="shared" si="4"/>
        <v>1</v>
      </c>
      <c r="K17" s="3">
        <f t="shared" si="5"/>
        <v>15</v>
      </c>
      <c r="L17">
        <v>1.4</v>
      </c>
      <c r="M17">
        <v>11.6</v>
      </c>
      <c r="N17">
        <v>27.9</v>
      </c>
      <c r="O17">
        <v>22.1</v>
      </c>
      <c r="P17">
        <v>17.5</v>
      </c>
      <c r="Q17">
        <v>15.3</v>
      </c>
      <c r="R17">
        <v>11.2</v>
      </c>
      <c r="S17">
        <v>9.1</v>
      </c>
      <c r="T17">
        <v>21.2</v>
      </c>
      <c r="U17">
        <v>24.9</v>
      </c>
      <c r="V17" t="s">
        <v>7</v>
      </c>
      <c r="W17">
        <v>15</v>
      </c>
      <c r="X17">
        <v>2.2999999999999998</v>
      </c>
      <c r="Y17">
        <v>20.7</v>
      </c>
      <c r="Z17">
        <v>8.9</v>
      </c>
      <c r="AA17">
        <v>32.5</v>
      </c>
      <c r="AB17" t="s">
        <v>8</v>
      </c>
      <c r="AC17" t="s">
        <v>8</v>
      </c>
    </row>
    <row r="18" spans="1:29" x14ac:dyDescent="0.25">
      <c r="A18">
        <v>24</v>
      </c>
      <c r="B18" t="s">
        <v>49</v>
      </c>
      <c r="C18" t="s">
        <v>50</v>
      </c>
      <c r="D18" s="6">
        <f t="shared" si="0"/>
        <v>15.3</v>
      </c>
      <c r="E18">
        <v>14.8</v>
      </c>
      <c r="F18">
        <v>191.8</v>
      </c>
      <c r="G18" s="3">
        <f t="shared" si="1"/>
        <v>8</v>
      </c>
      <c r="H18" s="3">
        <f t="shared" si="2"/>
        <v>7</v>
      </c>
      <c r="I18" s="3">
        <f t="shared" si="3"/>
        <v>3</v>
      </c>
      <c r="J18" s="3">
        <f t="shared" si="4"/>
        <v>0</v>
      </c>
      <c r="K18" s="3">
        <f t="shared" si="5"/>
        <v>13</v>
      </c>
      <c r="L18">
        <v>22.9</v>
      </c>
      <c r="M18">
        <v>20.100000000000001</v>
      </c>
      <c r="N18">
        <v>8.4</v>
      </c>
      <c r="O18">
        <v>9.1999999999999993</v>
      </c>
      <c r="P18" t="s">
        <v>8</v>
      </c>
      <c r="Q18">
        <v>18.2</v>
      </c>
      <c r="R18">
        <v>9.6</v>
      </c>
      <c r="S18">
        <v>16.8</v>
      </c>
      <c r="T18">
        <v>24.5</v>
      </c>
      <c r="U18">
        <v>8.5</v>
      </c>
      <c r="V18">
        <v>18.899999999999999</v>
      </c>
      <c r="W18">
        <v>8.9</v>
      </c>
      <c r="X18" t="s">
        <v>8</v>
      </c>
      <c r="Y18" t="s">
        <v>7</v>
      </c>
      <c r="Z18" t="s">
        <v>8</v>
      </c>
      <c r="AA18" t="s">
        <v>8</v>
      </c>
      <c r="AB18">
        <v>15.3</v>
      </c>
      <c r="AC18">
        <v>10.5</v>
      </c>
    </row>
    <row r="19" spans="1:29" x14ac:dyDescent="0.25">
      <c r="A19">
        <v>27</v>
      </c>
      <c r="B19" t="s">
        <v>58</v>
      </c>
      <c r="C19" t="s">
        <v>53</v>
      </c>
      <c r="D19" s="6">
        <f t="shared" si="0"/>
        <v>13.9</v>
      </c>
      <c r="E19">
        <v>16.5</v>
      </c>
      <c r="F19">
        <v>181.2</v>
      </c>
      <c r="G19" s="3">
        <f t="shared" si="1"/>
        <v>9</v>
      </c>
      <c r="H19" s="3">
        <f t="shared" si="2"/>
        <v>4</v>
      </c>
      <c r="I19" s="3">
        <f t="shared" si="3"/>
        <v>3</v>
      </c>
      <c r="J19" s="3">
        <f t="shared" si="4"/>
        <v>1</v>
      </c>
      <c r="K19" s="3">
        <f t="shared" si="5"/>
        <v>11</v>
      </c>
      <c r="L19">
        <v>18.899999999999999</v>
      </c>
      <c r="M19" t="s">
        <v>8</v>
      </c>
      <c r="N19" t="s">
        <v>8</v>
      </c>
      <c r="O19">
        <v>33.6</v>
      </c>
      <c r="P19">
        <v>14.6</v>
      </c>
      <c r="Q19">
        <v>20.9</v>
      </c>
      <c r="R19">
        <v>23.3</v>
      </c>
      <c r="S19">
        <v>8.5</v>
      </c>
      <c r="T19">
        <v>13.7</v>
      </c>
      <c r="U19" t="s">
        <v>7</v>
      </c>
      <c r="V19">
        <v>13.9</v>
      </c>
      <c r="W19">
        <v>13.3</v>
      </c>
      <c r="X19">
        <v>6.6</v>
      </c>
      <c r="Y19" t="s">
        <v>8</v>
      </c>
      <c r="Z19" t="s">
        <v>8</v>
      </c>
      <c r="AA19">
        <v>13.9</v>
      </c>
      <c r="AB19" t="s">
        <v>8</v>
      </c>
      <c r="AC19" t="s">
        <v>8</v>
      </c>
    </row>
    <row r="20" spans="1:29" x14ac:dyDescent="0.25">
      <c r="A20">
        <v>16</v>
      </c>
      <c r="B20" t="s">
        <v>39</v>
      </c>
      <c r="C20" t="s">
        <v>40</v>
      </c>
      <c r="D20" s="6">
        <f t="shared" si="0"/>
        <v>13.55</v>
      </c>
      <c r="E20">
        <v>15.1</v>
      </c>
      <c r="F20">
        <v>240.9</v>
      </c>
      <c r="G20" s="3">
        <f t="shared" si="1"/>
        <v>11</v>
      </c>
      <c r="H20" s="3">
        <f t="shared" si="2"/>
        <v>7</v>
      </c>
      <c r="I20" s="3">
        <f t="shared" si="3"/>
        <v>4</v>
      </c>
      <c r="J20" s="3">
        <f t="shared" si="4"/>
        <v>1</v>
      </c>
      <c r="K20" s="3">
        <f t="shared" si="5"/>
        <v>16</v>
      </c>
      <c r="L20">
        <v>18.3</v>
      </c>
      <c r="M20">
        <v>24.4</v>
      </c>
      <c r="N20">
        <v>18.3</v>
      </c>
      <c r="O20">
        <v>3.8</v>
      </c>
      <c r="P20">
        <v>6.7</v>
      </c>
      <c r="Q20">
        <v>21.9</v>
      </c>
      <c r="R20">
        <v>26.1</v>
      </c>
      <c r="S20">
        <v>9.9</v>
      </c>
      <c r="T20">
        <v>10.5</v>
      </c>
      <c r="U20">
        <v>12.3</v>
      </c>
      <c r="V20">
        <v>31.1</v>
      </c>
      <c r="W20" t="s">
        <v>7</v>
      </c>
      <c r="X20">
        <v>6</v>
      </c>
      <c r="Y20" t="s">
        <v>8</v>
      </c>
      <c r="Z20">
        <v>13.1</v>
      </c>
      <c r="AA20">
        <v>14</v>
      </c>
      <c r="AB20">
        <v>6.3</v>
      </c>
      <c r="AC20">
        <v>18.2</v>
      </c>
    </row>
    <row r="21" spans="1:29" x14ac:dyDescent="0.25">
      <c r="A21">
        <v>29</v>
      </c>
      <c r="B21" t="s">
        <v>59</v>
      </c>
      <c r="C21" t="s">
        <v>60</v>
      </c>
      <c r="D21" s="6">
        <f t="shared" si="0"/>
        <v>12.399999999999999</v>
      </c>
      <c r="E21">
        <v>11.4</v>
      </c>
      <c r="F21">
        <v>159.80000000000001</v>
      </c>
      <c r="G21" s="3">
        <f t="shared" si="1"/>
        <v>9</v>
      </c>
      <c r="H21" s="3">
        <f t="shared" si="2"/>
        <v>3</v>
      </c>
      <c r="I21" s="3">
        <f t="shared" si="3"/>
        <v>1</v>
      </c>
      <c r="J21" s="3">
        <f t="shared" si="4"/>
        <v>0</v>
      </c>
      <c r="K21" s="3">
        <f t="shared" si="5"/>
        <v>14</v>
      </c>
      <c r="L21">
        <v>17.899999999999999</v>
      </c>
      <c r="M21">
        <v>14.6</v>
      </c>
      <c r="N21">
        <v>10.7</v>
      </c>
      <c r="O21">
        <v>20.3</v>
      </c>
      <c r="P21">
        <v>13.8</v>
      </c>
      <c r="Q21" t="s">
        <v>8</v>
      </c>
      <c r="R21">
        <v>13.1</v>
      </c>
      <c r="S21">
        <v>8.6</v>
      </c>
      <c r="T21" t="s">
        <v>8</v>
      </c>
      <c r="U21" t="s">
        <v>8</v>
      </c>
      <c r="V21">
        <v>14.2</v>
      </c>
      <c r="W21">
        <v>3.4</v>
      </c>
      <c r="X21">
        <v>17.899999999999999</v>
      </c>
      <c r="Y21" t="s">
        <v>7</v>
      </c>
      <c r="Z21">
        <v>11.7</v>
      </c>
      <c r="AA21">
        <v>2.1</v>
      </c>
      <c r="AB21">
        <v>8.9</v>
      </c>
      <c r="AC21">
        <v>2.6</v>
      </c>
    </row>
    <row r="22" spans="1:29" x14ac:dyDescent="0.25">
      <c r="A22">
        <v>21</v>
      </c>
      <c r="B22" t="s">
        <v>46</v>
      </c>
      <c r="C22" t="s">
        <v>47</v>
      </c>
      <c r="D22" s="6">
        <f t="shared" si="0"/>
        <v>12.350000000000001</v>
      </c>
      <c r="E22">
        <v>12.5</v>
      </c>
      <c r="F22">
        <v>200.7</v>
      </c>
      <c r="G22" s="3">
        <f t="shared" si="1"/>
        <v>9</v>
      </c>
      <c r="H22" s="3">
        <f t="shared" si="2"/>
        <v>6</v>
      </c>
      <c r="I22" s="3">
        <f t="shared" si="3"/>
        <v>1</v>
      </c>
      <c r="J22" s="3">
        <f t="shared" si="4"/>
        <v>0</v>
      </c>
      <c r="K22" s="3">
        <f t="shared" si="5"/>
        <v>16</v>
      </c>
      <c r="L22">
        <v>18.399999999999999</v>
      </c>
      <c r="M22">
        <v>15.2</v>
      </c>
      <c r="N22">
        <v>5.9</v>
      </c>
      <c r="O22">
        <v>18.8</v>
      </c>
      <c r="P22" t="s">
        <v>7</v>
      </c>
      <c r="Q22">
        <v>17.8</v>
      </c>
      <c r="R22">
        <v>8.5</v>
      </c>
      <c r="S22">
        <v>14.7</v>
      </c>
      <c r="T22">
        <v>18.399999999999999</v>
      </c>
      <c r="U22">
        <v>10.3</v>
      </c>
      <c r="V22">
        <v>4.9000000000000004</v>
      </c>
      <c r="W22">
        <v>21.9</v>
      </c>
      <c r="X22">
        <v>8.8000000000000007</v>
      </c>
      <c r="Y22">
        <v>14.4</v>
      </c>
      <c r="Z22">
        <v>8.5</v>
      </c>
      <c r="AA22">
        <v>8</v>
      </c>
      <c r="AB22" t="s">
        <v>8</v>
      </c>
      <c r="AC22">
        <v>6.2</v>
      </c>
    </row>
    <row r="23" spans="1:29" x14ac:dyDescent="0.25">
      <c r="A23">
        <v>14</v>
      </c>
      <c r="B23" t="s">
        <v>37</v>
      </c>
      <c r="C23" t="s">
        <v>38</v>
      </c>
      <c r="D23" s="6">
        <f t="shared" si="0"/>
        <v>12.3</v>
      </c>
      <c r="E23">
        <v>14.2</v>
      </c>
      <c r="F23">
        <v>241.6</v>
      </c>
      <c r="G23" s="3">
        <f t="shared" si="1"/>
        <v>13</v>
      </c>
      <c r="H23" s="3">
        <f t="shared" si="2"/>
        <v>7</v>
      </c>
      <c r="I23" s="3">
        <f t="shared" si="3"/>
        <v>2</v>
      </c>
      <c r="J23" s="3">
        <f t="shared" si="4"/>
        <v>0</v>
      </c>
      <c r="K23" s="3">
        <f t="shared" si="5"/>
        <v>17</v>
      </c>
      <c r="L23">
        <v>18.899999999999999</v>
      </c>
      <c r="M23">
        <v>9.8000000000000007</v>
      </c>
      <c r="N23">
        <v>25.8</v>
      </c>
      <c r="O23">
        <v>17.899999999999999</v>
      </c>
      <c r="P23">
        <v>6.3</v>
      </c>
      <c r="Q23" t="s">
        <v>7</v>
      </c>
      <c r="R23">
        <v>20.6</v>
      </c>
      <c r="S23">
        <v>11.5</v>
      </c>
      <c r="T23">
        <v>12.2</v>
      </c>
      <c r="U23">
        <v>12.1</v>
      </c>
      <c r="V23">
        <v>5.3</v>
      </c>
      <c r="W23">
        <v>19.899999999999999</v>
      </c>
      <c r="X23">
        <v>9.8000000000000007</v>
      </c>
      <c r="Y23">
        <v>16.399999999999999</v>
      </c>
      <c r="Z23">
        <v>18.600000000000001</v>
      </c>
      <c r="AA23">
        <v>12.3</v>
      </c>
      <c r="AB23">
        <v>11.7</v>
      </c>
      <c r="AC23">
        <v>12.5</v>
      </c>
    </row>
    <row r="24" spans="1:29" x14ac:dyDescent="0.25">
      <c r="A24">
        <v>28</v>
      </c>
      <c r="B24" t="s">
        <v>56</v>
      </c>
      <c r="C24" t="s">
        <v>57</v>
      </c>
      <c r="D24" s="6">
        <f t="shared" si="0"/>
        <v>12.3</v>
      </c>
      <c r="E24">
        <v>11.7</v>
      </c>
      <c r="F24">
        <v>175.9</v>
      </c>
      <c r="G24" s="3">
        <f t="shared" si="1"/>
        <v>8</v>
      </c>
      <c r="H24" s="3">
        <f t="shared" si="2"/>
        <v>5</v>
      </c>
      <c r="I24" s="3">
        <f t="shared" si="3"/>
        <v>3</v>
      </c>
      <c r="J24" s="3">
        <f t="shared" si="4"/>
        <v>0</v>
      </c>
      <c r="K24" s="3">
        <f t="shared" si="5"/>
        <v>15</v>
      </c>
      <c r="L24">
        <v>21.6</v>
      </c>
      <c r="M24">
        <v>17</v>
      </c>
      <c r="N24">
        <v>0.3</v>
      </c>
      <c r="O24">
        <v>8.1999999999999993</v>
      </c>
      <c r="P24">
        <v>19.2</v>
      </c>
      <c r="Q24" t="s">
        <v>8</v>
      </c>
      <c r="R24">
        <v>4.5</v>
      </c>
      <c r="S24">
        <v>23.5</v>
      </c>
      <c r="T24">
        <v>22.4</v>
      </c>
      <c r="U24">
        <v>8.6999999999999993</v>
      </c>
      <c r="V24">
        <v>12.9</v>
      </c>
      <c r="W24">
        <v>3.3</v>
      </c>
      <c r="X24">
        <v>12.4</v>
      </c>
      <c r="Y24" t="s">
        <v>7</v>
      </c>
      <c r="Z24">
        <v>9.5</v>
      </c>
      <c r="AA24">
        <v>12.3</v>
      </c>
      <c r="AB24">
        <v>0.1</v>
      </c>
      <c r="AC24" t="s">
        <v>8</v>
      </c>
    </row>
    <row r="25" spans="1:29" x14ac:dyDescent="0.25">
      <c r="A25">
        <v>31</v>
      </c>
      <c r="B25" t="s">
        <v>61</v>
      </c>
      <c r="C25" t="s">
        <v>62</v>
      </c>
      <c r="D25" s="6">
        <f t="shared" si="0"/>
        <v>11.7</v>
      </c>
      <c r="E25">
        <v>12</v>
      </c>
      <c r="F25">
        <v>155.4</v>
      </c>
      <c r="G25" s="3">
        <f t="shared" si="1"/>
        <v>8</v>
      </c>
      <c r="H25" s="3">
        <f t="shared" si="2"/>
        <v>5</v>
      </c>
      <c r="I25" s="3">
        <f t="shared" si="3"/>
        <v>1</v>
      </c>
      <c r="J25" s="3">
        <f t="shared" si="4"/>
        <v>0</v>
      </c>
      <c r="K25" s="3">
        <f t="shared" si="5"/>
        <v>13</v>
      </c>
      <c r="L25" t="s">
        <v>8</v>
      </c>
      <c r="M25" t="s">
        <v>8</v>
      </c>
      <c r="N25" t="s">
        <v>8</v>
      </c>
      <c r="O25">
        <v>10.5</v>
      </c>
      <c r="P25">
        <v>18.7</v>
      </c>
      <c r="Q25" t="s">
        <v>7</v>
      </c>
      <c r="R25">
        <v>22.3</v>
      </c>
      <c r="S25">
        <v>13.3</v>
      </c>
      <c r="T25">
        <v>18.7</v>
      </c>
      <c r="U25">
        <v>17</v>
      </c>
      <c r="V25">
        <v>6</v>
      </c>
      <c r="W25">
        <v>11.7</v>
      </c>
      <c r="X25">
        <v>3.5</v>
      </c>
      <c r="Y25">
        <v>3.9</v>
      </c>
      <c r="Z25">
        <v>5.9</v>
      </c>
      <c r="AA25">
        <v>15.9</v>
      </c>
      <c r="AB25">
        <v>8</v>
      </c>
      <c r="AC25" t="s">
        <v>8</v>
      </c>
    </row>
    <row r="26" spans="1:29" x14ac:dyDescent="0.25">
      <c r="A26">
        <v>69</v>
      </c>
      <c r="B26" t="s">
        <v>111</v>
      </c>
      <c r="C26" t="s">
        <v>76</v>
      </c>
      <c r="D26" s="6">
        <f t="shared" si="0"/>
        <v>11.649999999999999</v>
      </c>
      <c r="E26">
        <v>12</v>
      </c>
      <c r="F26">
        <v>47.8</v>
      </c>
      <c r="G26" s="3">
        <f t="shared" si="1"/>
        <v>2</v>
      </c>
      <c r="H26" s="3">
        <f t="shared" si="2"/>
        <v>1</v>
      </c>
      <c r="I26" s="3">
        <f t="shared" si="3"/>
        <v>0</v>
      </c>
      <c r="J26" s="3">
        <f t="shared" si="4"/>
        <v>0</v>
      </c>
      <c r="K26" s="3">
        <f t="shared" si="5"/>
        <v>4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7</v>
      </c>
      <c r="U26">
        <v>16.7</v>
      </c>
      <c r="V26">
        <v>14.6</v>
      </c>
      <c r="W26">
        <v>7.8</v>
      </c>
      <c r="X26">
        <v>8.6999999999999993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</row>
    <row r="27" spans="1:29" x14ac:dyDescent="0.25">
      <c r="A27">
        <v>22</v>
      </c>
      <c r="B27" t="s">
        <v>51</v>
      </c>
      <c r="C27" t="s">
        <v>34</v>
      </c>
      <c r="D27" s="6">
        <f t="shared" si="0"/>
        <v>11.35</v>
      </c>
      <c r="E27">
        <v>12.5</v>
      </c>
      <c r="F27">
        <v>199.6</v>
      </c>
      <c r="G27" s="3">
        <f t="shared" si="1"/>
        <v>10</v>
      </c>
      <c r="H27" s="3">
        <f t="shared" si="2"/>
        <v>5</v>
      </c>
      <c r="I27" s="3">
        <f t="shared" si="3"/>
        <v>2</v>
      </c>
      <c r="J27" s="3">
        <f t="shared" si="4"/>
        <v>0</v>
      </c>
      <c r="K27" s="3">
        <f t="shared" si="5"/>
        <v>16</v>
      </c>
      <c r="L27">
        <v>16.600000000000001</v>
      </c>
      <c r="M27">
        <v>3.3</v>
      </c>
      <c r="N27">
        <v>8.5</v>
      </c>
      <c r="O27">
        <v>10.4</v>
      </c>
      <c r="P27">
        <v>9.6</v>
      </c>
      <c r="Q27" t="s">
        <v>8</v>
      </c>
      <c r="R27">
        <v>29.1</v>
      </c>
      <c r="S27">
        <v>15.7</v>
      </c>
      <c r="T27">
        <v>12.5</v>
      </c>
      <c r="U27">
        <v>19</v>
      </c>
      <c r="V27" t="s">
        <v>7</v>
      </c>
      <c r="W27">
        <v>11.7</v>
      </c>
      <c r="X27">
        <v>8.8000000000000007</v>
      </c>
      <c r="Y27">
        <v>24.9</v>
      </c>
      <c r="Z27">
        <v>14.1</v>
      </c>
      <c r="AA27">
        <v>11</v>
      </c>
      <c r="AB27">
        <v>4.4000000000000004</v>
      </c>
      <c r="AC27">
        <v>0</v>
      </c>
    </row>
    <row r="28" spans="1:29" x14ac:dyDescent="0.25">
      <c r="A28">
        <v>20</v>
      </c>
      <c r="B28" t="s">
        <v>44</v>
      </c>
      <c r="C28" t="s">
        <v>45</v>
      </c>
      <c r="D28" s="6">
        <f t="shared" si="0"/>
        <v>11.3</v>
      </c>
      <c r="E28">
        <v>12</v>
      </c>
      <c r="F28">
        <v>204.6</v>
      </c>
      <c r="G28" s="3">
        <f t="shared" si="1"/>
        <v>11</v>
      </c>
      <c r="H28" s="3">
        <f t="shared" si="2"/>
        <v>5</v>
      </c>
      <c r="I28" s="3">
        <f t="shared" si="3"/>
        <v>2</v>
      </c>
      <c r="J28" s="3">
        <f t="shared" si="4"/>
        <v>0</v>
      </c>
      <c r="K28" s="3">
        <f t="shared" si="5"/>
        <v>17</v>
      </c>
      <c r="L28">
        <v>8.9</v>
      </c>
      <c r="M28">
        <v>8.4</v>
      </c>
      <c r="N28">
        <v>13.6</v>
      </c>
      <c r="O28">
        <v>10.3</v>
      </c>
      <c r="P28">
        <v>9.6999999999999993</v>
      </c>
      <c r="Q28">
        <v>20.2</v>
      </c>
      <c r="R28">
        <v>16.2</v>
      </c>
      <c r="S28">
        <v>16.100000000000001</v>
      </c>
      <c r="T28" t="s">
        <v>8</v>
      </c>
      <c r="U28">
        <v>11.3</v>
      </c>
      <c r="V28">
        <v>13.3</v>
      </c>
      <c r="W28">
        <v>7.4</v>
      </c>
      <c r="X28">
        <v>24.9</v>
      </c>
      <c r="Y28">
        <v>11.3</v>
      </c>
      <c r="Z28">
        <v>3.1</v>
      </c>
      <c r="AA28">
        <v>4.2</v>
      </c>
      <c r="AB28">
        <v>10.1</v>
      </c>
      <c r="AC28">
        <v>15.6</v>
      </c>
    </row>
    <row r="29" spans="1:29" x14ac:dyDescent="0.25">
      <c r="A29">
        <v>34</v>
      </c>
      <c r="B29" t="s">
        <v>70</v>
      </c>
      <c r="C29" t="s">
        <v>60</v>
      </c>
      <c r="D29" s="6">
        <f t="shared" si="0"/>
        <v>11.15</v>
      </c>
      <c r="E29">
        <v>11</v>
      </c>
      <c r="F29">
        <v>132.30000000000001</v>
      </c>
      <c r="G29" s="3">
        <f t="shared" si="1"/>
        <v>8</v>
      </c>
      <c r="H29" s="3">
        <f t="shared" si="2"/>
        <v>3</v>
      </c>
      <c r="I29" s="3">
        <f t="shared" si="3"/>
        <v>0</v>
      </c>
      <c r="J29" s="3">
        <f t="shared" si="4"/>
        <v>0</v>
      </c>
      <c r="K29" s="3">
        <f t="shared" si="5"/>
        <v>12</v>
      </c>
      <c r="L29">
        <v>10.199999999999999</v>
      </c>
      <c r="M29">
        <v>11.5</v>
      </c>
      <c r="N29">
        <v>13.7</v>
      </c>
      <c r="O29" t="s">
        <v>8</v>
      </c>
      <c r="P29">
        <v>11.7</v>
      </c>
      <c r="Q29">
        <v>10.8</v>
      </c>
      <c r="R29">
        <v>4</v>
      </c>
      <c r="S29">
        <v>7.8</v>
      </c>
      <c r="T29">
        <v>17.3</v>
      </c>
      <c r="U29">
        <v>18.100000000000001</v>
      </c>
      <c r="V29">
        <v>17.600000000000001</v>
      </c>
      <c r="W29">
        <v>4.4000000000000004</v>
      </c>
      <c r="X29" t="s">
        <v>8</v>
      </c>
      <c r="Y29" t="s">
        <v>7</v>
      </c>
      <c r="Z29" t="s">
        <v>8</v>
      </c>
      <c r="AA29" t="s">
        <v>8</v>
      </c>
      <c r="AB29" t="s">
        <v>8</v>
      </c>
      <c r="AC29">
        <v>5.2</v>
      </c>
    </row>
    <row r="30" spans="1:29" x14ac:dyDescent="0.25">
      <c r="A30">
        <v>23</v>
      </c>
      <c r="B30" t="s">
        <v>48</v>
      </c>
      <c r="C30" t="s">
        <v>36</v>
      </c>
      <c r="D30" s="6">
        <f t="shared" si="0"/>
        <v>10.65</v>
      </c>
      <c r="E30">
        <v>12.4</v>
      </c>
      <c r="F30">
        <v>197.8</v>
      </c>
      <c r="G30" s="3">
        <f t="shared" si="1"/>
        <v>9</v>
      </c>
      <c r="H30" s="3">
        <f t="shared" si="2"/>
        <v>5</v>
      </c>
      <c r="I30" s="3">
        <f t="shared" si="3"/>
        <v>2</v>
      </c>
      <c r="J30" s="3">
        <f t="shared" si="4"/>
        <v>0</v>
      </c>
      <c r="K30" s="3">
        <f t="shared" si="5"/>
        <v>16</v>
      </c>
      <c r="L30">
        <v>4.2</v>
      </c>
      <c r="M30">
        <v>9.9</v>
      </c>
      <c r="N30">
        <v>8.6</v>
      </c>
      <c r="O30">
        <v>13.1</v>
      </c>
      <c r="P30">
        <v>19.399999999999999</v>
      </c>
      <c r="Q30">
        <v>10.5</v>
      </c>
      <c r="R30" t="s">
        <v>8</v>
      </c>
      <c r="S30" t="s">
        <v>8</v>
      </c>
      <c r="T30">
        <v>21.7</v>
      </c>
      <c r="U30">
        <v>8.6</v>
      </c>
      <c r="V30">
        <v>5.4</v>
      </c>
      <c r="W30">
        <v>10.8</v>
      </c>
      <c r="X30">
        <v>21.3</v>
      </c>
      <c r="Y30">
        <v>15.1</v>
      </c>
      <c r="Z30">
        <v>14.9</v>
      </c>
      <c r="AA30">
        <v>8.1</v>
      </c>
      <c r="AB30">
        <v>9.8000000000000007</v>
      </c>
      <c r="AC30">
        <v>16.399999999999999</v>
      </c>
    </row>
    <row r="31" spans="1:29" x14ac:dyDescent="0.25">
      <c r="A31">
        <v>25</v>
      </c>
      <c r="B31" t="s">
        <v>52</v>
      </c>
      <c r="C31" t="s">
        <v>53</v>
      </c>
      <c r="D31" s="6">
        <f t="shared" si="0"/>
        <v>10.4</v>
      </c>
      <c r="E31">
        <v>11</v>
      </c>
      <c r="F31">
        <v>186.9</v>
      </c>
      <c r="G31" s="3">
        <f t="shared" si="1"/>
        <v>9</v>
      </c>
      <c r="H31" s="3">
        <f t="shared" si="2"/>
        <v>3</v>
      </c>
      <c r="I31" s="3">
        <f t="shared" si="3"/>
        <v>2</v>
      </c>
      <c r="J31" s="3">
        <f t="shared" si="4"/>
        <v>1</v>
      </c>
      <c r="K31" s="3">
        <f t="shared" si="5"/>
        <v>17</v>
      </c>
      <c r="L31">
        <v>12.1</v>
      </c>
      <c r="M31">
        <v>17.899999999999999</v>
      </c>
      <c r="N31">
        <v>25.7</v>
      </c>
      <c r="O31">
        <v>10.4</v>
      </c>
      <c r="P31">
        <v>6</v>
      </c>
      <c r="Q31">
        <v>4.5</v>
      </c>
      <c r="R31">
        <v>1.9</v>
      </c>
      <c r="S31">
        <v>11.4</v>
      </c>
      <c r="T31">
        <v>5.3</v>
      </c>
      <c r="U31" t="s">
        <v>7</v>
      </c>
      <c r="V31">
        <v>2.5</v>
      </c>
      <c r="W31">
        <v>2.2000000000000002</v>
      </c>
      <c r="X31">
        <v>12.1</v>
      </c>
      <c r="Y31">
        <v>38.299999999999997</v>
      </c>
      <c r="Z31">
        <v>13.6</v>
      </c>
      <c r="AA31">
        <v>3.3</v>
      </c>
      <c r="AB31">
        <v>10.6</v>
      </c>
      <c r="AC31">
        <v>9.1</v>
      </c>
    </row>
    <row r="32" spans="1:29" x14ac:dyDescent="0.25">
      <c r="A32">
        <v>19</v>
      </c>
      <c r="B32" t="s">
        <v>42</v>
      </c>
      <c r="C32" t="s">
        <v>43</v>
      </c>
      <c r="D32" s="6">
        <f t="shared" si="0"/>
        <v>9.9</v>
      </c>
      <c r="E32">
        <v>12.6</v>
      </c>
      <c r="F32">
        <v>214.5</v>
      </c>
      <c r="G32" s="3">
        <f t="shared" si="1"/>
        <v>8</v>
      </c>
      <c r="H32" s="3">
        <f t="shared" si="2"/>
        <v>5</v>
      </c>
      <c r="I32" s="3">
        <f t="shared" si="3"/>
        <v>3</v>
      </c>
      <c r="J32" s="3">
        <f t="shared" si="4"/>
        <v>0</v>
      </c>
      <c r="K32" s="3">
        <f t="shared" si="5"/>
        <v>17</v>
      </c>
      <c r="L32">
        <v>5</v>
      </c>
      <c r="M32">
        <v>8.1999999999999993</v>
      </c>
      <c r="N32">
        <v>6.2</v>
      </c>
      <c r="O32">
        <v>29.5</v>
      </c>
      <c r="P32">
        <v>20</v>
      </c>
      <c r="Q32">
        <v>21.9</v>
      </c>
      <c r="R32" t="s">
        <v>7</v>
      </c>
      <c r="S32">
        <v>18.899999999999999</v>
      </c>
      <c r="T32">
        <v>14.2</v>
      </c>
      <c r="U32">
        <v>7.5</v>
      </c>
      <c r="V32">
        <v>16.399999999999999</v>
      </c>
      <c r="W32">
        <v>9.5</v>
      </c>
      <c r="X32">
        <v>9.4</v>
      </c>
      <c r="Y32">
        <v>5</v>
      </c>
      <c r="Z32">
        <v>9.9</v>
      </c>
      <c r="AA32">
        <v>8.3000000000000007</v>
      </c>
      <c r="AB32">
        <v>12.1</v>
      </c>
      <c r="AC32">
        <v>12.5</v>
      </c>
    </row>
    <row r="33" spans="1:32" x14ac:dyDescent="0.25">
      <c r="A33">
        <v>32</v>
      </c>
      <c r="B33" t="s">
        <v>67</v>
      </c>
      <c r="C33" t="s">
        <v>18</v>
      </c>
      <c r="D33" s="6">
        <f t="shared" si="0"/>
        <v>9.65</v>
      </c>
      <c r="E33">
        <v>9.8000000000000007</v>
      </c>
      <c r="F33">
        <v>137.4</v>
      </c>
      <c r="G33" s="3">
        <f t="shared" si="1"/>
        <v>6</v>
      </c>
      <c r="H33" s="3">
        <f t="shared" si="2"/>
        <v>4</v>
      </c>
      <c r="I33" s="3">
        <f t="shared" si="3"/>
        <v>0</v>
      </c>
      <c r="J33" s="3">
        <f t="shared" si="4"/>
        <v>0</v>
      </c>
      <c r="K33" s="3">
        <f t="shared" si="5"/>
        <v>14</v>
      </c>
      <c r="L33">
        <v>16.2</v>
      </c>
      <c r="M33">
        <v>6.1</v>
      </c>
      <c r="N33">
        <v>13.4</v>
      </c>
      <c r="O33">
        <v>6</v>
      </c>
      <c r="P33">
        <v>10.1</v>
      </c>
      <c r="Q33">
        <v>17.5</v>
      </c>
      <c r="R33">
        <v>15.3</v>
      </c>
      <c r="S33">
        <v>9.4</v>
      </c>
      <c r="T33">
        <v>3.6</v>
      </c>
      <c r="U33" t="s">
        <v>8</v>
      </c>
      <c r="V33">
        <v>9.9</v>
      </c>
      <c r="W33" t="s">
        <v>8</v>
      </c>
      <c r="X33" t="s">
        <v>8</v>
      </c>
      <c r="Y33" t="s">
        <v>8</v>
      </c>
      <c r="Z33">
        <v>2.4</v>
      </c>
      <c r="AA33">
        <v>15.6</v>
      </c>
      <c r="AB33">
        <v>4.8</v>
      </c>
      <c r="AC33">
        <v>7.1</v>
      </c>
    </row>
    <row r="34" spans="1:32" x14ac:dyDescent="0.25">
      <c r="A34">
        <v>30</v>
      </c>
      <c r="B34" t="s">
        <v>63</v>
      </c>
      <c r="C34" t="s">
        <v>64</v>
      </c>
      <c r="D34" s="6">
        <f t="shared" ref="D34:D65" si="6">MEDIAN(L34:AC34)</f>
        <v>9.1999999999999993</v>
      </c>
      <c r="E34">
        <v>9.3000000000000007</v>
      </c>
      <c r="F34">
        <v>157.9</v>
      </c>
      <c r="G34" s="3">
        <f t="shared" ref="G34:G65" si="7">COUNTIFS(L34:AC34,"&gt;=10",L34:AC34,"&lt;=99")</f>
        <v>8</v>
      </c>
      <c r="H34" s="3">
        <f t="shared" ref="H34:H65" si="8">COUNTIFS(L34:AC34,"&gt;=15",L34:AC34,"&lt;=99")</f>
        <v>3</v>
      </c>
      <c r="I34" s="3">
        <f t="shared" ref="I34:I65" si="9">COUNTIFS(L34:AC34,"&gt;=20",L34:AC34,"&lt;=99")</f>
        <v>1</v>
      </c>
      <c r="J34" s="3">
        <f t="shared" ref="J34:J65" si="10">COUNTIFS(L34:AC34,"&gt;=30",L34:AC34,"&lt;=99")</f>
        <v>0</v>
      </c>
      <c r="K34" s="3">
        <f t="shared" ref="K34:K65" si="11">COUNT(L34:AC34)</f>
        <v>17</v>
      </c>
      <c r="L34">
        <v>3.3</v>
      </c>
      <c r="M34">
        <v>11.5</v>
      </c>
      <c r="N34">
        <v>6.1</v>
      </c>
      <c r="O34">
        <v>10</v>
      </c>
      <c r="P34">
        <v>16.100000000000001</v>
      </c>
      <c r="Q34">
        <v>4.5999999999999996</v>
      </c>
      <c r="R34">
        <v>26.1</v>
      </c>
      <c r="S34">
        <v>9.1999999999999993</v>
      </c>
      <c r="T34">
        <v>10.4</v>
      </c>
      <c r="U34">
        <v>2.7</v>
      </c>
      <c r="V34">
        <v>18.7</v>
      </c>
      <c r="W34">
        <v>2.4</v>
      </c>
      <c r="X34">
        <v>7.4</v>
      </c>
      <c r="Y34" t="s">
        <v>8</v>
      </c>
      <c r="Z34">
        <v>4.3</v>
      </c>
      <c r="AA34">
        <v>12.3</v>
      </c>
      <c r="AB34">
        <v>2</v>
      </c>
      <c r="AC34">
        <v>10.8</v>
      </c>
    </row>
    <row r="35" spans="1:32" x14ac:dyDescent="0.25">
      <c r="A35">
        <v>26</v>
      </c>
      <c r="B35" t="s">
        <v>54</v>
      </c>
      <c r="C35" t="s">
        <v>55</v>
      </c>
      <c r="D35" s="6">
        <f t="shared" si="6"/>
        <v>9</v>
      </c>
      <c r="E35">
        <v>10.7</v>
      </c>
      <c r="F35">
        <v>182.3</v>
      </c>
      <c r="G35" s="3">
        <f t="shared" si="7"/>
        <v>7</v>
      </c>
      <c r="H35" s="3">
        <f t="shared" si="8"/>
        <v>5</v>
      </c>
      <c r="I35" s="3">
        <f t="shared" si="9"/>
        <v>2</v>
      </c>
      <c r="J35" s="3">
        <f t="shared" si="10"/>
        <v>0</v>
      </c>
      <c r="K35" s="3">
        <f t="shared" si="11"/>
        <v>17</v>
      </c>
      <c r="L35">
        <v>1.7</v>
      </c>
      <c r="M35">
        <v>0.2</v>
      </c>
      <c r="N35">
        <v>6</v>
      </c>
      <c r="O35">
        <v>3.1</v>
      </c>
      <c r="P35">
        <v>14</v>
      </c>
      <c r="Q35">
        <v>22.7</v>
      </c>
      <c r="R35">
        <v>6.2</v>
      </c>
      <c r="S35">
        <v>23</v>
      </c>
      <c r="T35">
        <v>7.9</v>
      </c>
      <c r="U35">
        <v>15.4</v>
      </c>
      <c r="V35" t="s">
        <v>7</v>
      </c>
      <c r="W35">
        <v>9</v>
      </c>
      <c r="X35">
        <v>14.5</v>
      </c>
      <c r="Y35">
        <v>19.3</v>
      </c>
      <c r="Z35">
        <v>4.5</v>
      </c>
      <c r="AA35">
        <v>16.899999999999999</v>
      </c>
      <c r="AB35">
        <v>9.3000000000000007</v>
      </c>
      <c r="AC35">
        <v>8.6</v>
      </c>
    </row>
    <row r="36" spans="1:32" x14ac:dyDescent="0.25">
      <c r="A36">
        <v>41</v>
      </c>
      <c r="B36" t="s">
        <v>72</v>
      </c>
      <c r="C36" t="s">
        <v>38</v>
      </c>
      <c r="D36" s="6">
        <f t="shared" si="6"/>
        <v>8.8500000000000014</v>
      </c>
      <c r="E36">
        <v>9.6</v>
      </c>
      <c r="F36">
        <v>115</v>
      </c>
      <c r="G36" s="3">
        <f t="shared" si="7"/>
        <v>4</v>
      </c>
      <c r="H36" s="3">
        <f t="shared" si="8"/>
        <v>3</v>
      </c>
      <c r="I36" s="3">
        <f t="shared" si="9"/>
        <v>2</v>
      </c>
      <c r="J36" s="3">
        <f t="shared" si="10"/>
        <v>0</v>
      </c>
      <c r="K36" s="3">
        <f t="shared" si="11"/>
        <v>12</v>
      </c>
      <c r="L36">
        <v>22.2</v>
      </c>
      <c r="M36">
        <v>17.399999999999999</v>
      </c>
      <c r="N36">
        <v>10.8</v>
      </c>
      <c r="O36">
        <v>24</v>
      </c>
      <c r="P36">
        <v>8.8000000000000007</v>
      </c>
      <c r="Q36">
        <v>9.1999999999999993</v>
      </c>
      <c r="R36">
        <v>8.9</v>
      </c>
      <c r="S36">
        <v>1.8</v>
      </c>
      <c r="T36" t="s">
        <v>8</v>
      </c>
      <c r="U36">
        <v>0.5</v>
      </c>
      <c r="V36">
        <v>1.3</v>
      </c>
      <c r="W36">
        <v>2.2999999999999998</v>
      </c>
      <c r="X36">
        <v>7.8</v>
      </c>
      <c r="Y36" t="s">
        <v>8</v>
      </c>
      <c r="Z36" t="s">
        <v>8</v>
      </c>
      <c r="AA36" t="s">
        <v>8</v>
      </c>
      <c r="AB36" t="s">
        <v>8</v>
      </c>
      <c r="AC36" t="s">
        <v>8</v>
      </c>
    </row>
    <row r="37" spans="1:32" x14ac:dyDescent="0.25">
      <c r="A37">
        <v>35</v>
      </c>
      <c r="B37" t="s">
        <v>71</v>
      </c>
      <c r="C37" t="s">
        <v>66</v>
      </c>
      <c r="D37" s="6">
        <f t="shared" si="6"/>
        <v>8.8000000000000007</v>
      </c>
      <c r="E37">
        <v>8.6999999999999993</v>
      </c>
      <c r="F37">
        <v>130.19999999999999</v>
      </c>
      <c r="G37" s="3">
        <f t="shared" si="7"/>
        <v>6</v>
      </c>
      <c r="H37" s="3">
        <f t="shared" si="8"/>
        <v>0</v>
      </c>
      <c r="I37" s="3">
        <f t="shared" si="9"/>
        <v>0</v>
      </c>
      <c r="J37" s="3">
        <f t="shared" si="10"/>
        <v>0</v>
      </c>
      <c r="K37" s="3">
        <f t="shared" si="11"/>
        <v>15</v>
      </c>
      <c r="L37">
        <v>11.9</v>
      </c>
      <c r="M37">
        <v>14.8</v>
      </c>
      <c r="N37">
        <v>12.5</v>
      </c>
      <c r="O37">
        <v>7</v>
      </c>
      <c r="P37">
        <v>12</v>
      </c>
      <c r="Q37">
        <v>-0.1</v>
      </c>
      <c r="R37" t="s">
        <v>8</v>
      </c>
      <c r="S37" t="s">
        <v>8</v>
      </c>
      <c r="T37">
        <v>5</v>
      </c>
      <c r="U37">
        <v>5.3</v>
      </c>
      <c r="V37">
        <v>6.3</v>
      </c>
      <c r="W37" t="s">
        <v>7</v>
      </c>
      <c r="X37">
        <v>8.8000000000000007</v>
      </c>
      <c r="Y37">
        <v>11</v>
      </c>
      <c r="Z37">
        <v>12.5</v>
      </c>
      <c r="AA37">
        <v>5.7</v>
      </c>
      <c r="AB37">
        <v>8.5</v>
      </c>
      <c r="AC37">
        <v>9</v>
      </c>
      <c r="AF37" s="3">
        <f>MEDIAN(L2:AC40)</f>
        <v>13.3</v>
      </c>
    </row>
    <row r="38" spans="1:32" x14ac:dyDescent="0.25">
      <c r="A38">
        <v>39</v>
      </c>
      <c r="B38" t="s">
        <v>77</v>
      </c>
      <c r="C38" t="s">
        <v>78</v>
      </c>
      <c r="D38" s="6">
        <f t="shared" si="6"/>
        <v>8.1</v>
      </c>
      <c r="E38">
        <v>8.3000000000000007</v>
      </c>
      <c r="F38">
        <v>124.1</v>
      </c>
      <c r="G38" s="3">
        <f t="shared" si="7"/>
        <v>5</v>
      </c>
      <c r="H38" s="3">
        <f t="shared" si="8"/>
        <v>2</v>
      </c>
      <c r="I38" s="3">
        <f t="shared" si="9"/>
        <v>0</v>
      </c>
      <c r="J38" s="3">
        <f t="shared" si="10"/>
        <v>0</v>
      </c>
      <c r="K38" s="3">
        <f t="shared" si="11"/>
        <v>15</v>
      </c>
      <c r="L38">
        <v>4</v>
      </c>
      <c r="M38">
        <v>8.1</v>
      </c>
      <c r="N38">
        <v>1.1000000000000001</v>
      </c>
      <c r="O38" t="s">
        <v>8</v>
      </c>
      <c r="P38" t="s">
        <v>8</v>
      </c>
      <c r="Q38">
        <v>4.8</v>
      </c>
      <c r="R38">
        <v>7.9</v>
      </c>
      <c r="S38">
        <v>7.9</v>
      </c>
      <c r="T38" t="s">
        <v>7</v>
      </c>
      <c r="U38">
        <v>9.5</v>
      </c>
      <c r="V38">
        <v>10.8</v>
      </c>
      <c r="W38">
        <v>15.4</v>
      </c>
      <c r="X38">
        <v>10.4</v>
      </c>
      <c r="Y38">
        <v>9.1999999999999993</v>
      </c>
      <c r="Z38">
        <v>2.5</v>
      </c>
      <c r="AA38">
        <v>14.2</v>
      </c>
      <c r="AB38">
        <v>16.2</v>
      </c>
      <c r="AC38">
        <v>2.1</v>
      </c>
    </row>
    <row r="39" spans="1:32" x14ac:dyDescent="0.25">
      <c r="A39">
        <v>52</v>
      </c>
      <c r="B39" t="s">
        <v>89</v>
      </c>
      <c r="C39" t="s">
        <v>90</v>
      </c>
      <c r="D39" s="6">
        <f t="shared" si="6"/>
        <v>7.9</v>
      </c>
      <c r="E39">
        <v>9.1</v>
      </c>
      <c r="F39">
        <v>81.900000000000006</v>
      </c>
      <c r="G39" s="3">
        <f t="shared" si="7"/>
        <v>3</v>
      </c>
      <c r="H39" s="3">
        <f t="shared" si="8"/>
        <v>2</v>
      </c>
      <c r="I39" s="3">
        <f t="shared" si="9"/>
        <v>1</v>
      </c>
      <c r="J39" s="3">
        <f t="shared" si="10"/>
        <v>0</v>
      </c>
      <c r="K39" s="3">
        <f t="shared" si="11"/>
        <v>9</v>
      </c>
      <c r="L39">
        <v>14.1</v>
      </c>
      <c r="M39">
        <v>5.7</v>
      </c>
      <c r="N39">
        <v>20.7</v>
      </c>
      <c r="O39">
        <v>17.8</v>
      </c>
      <c r="P39">
        <v>8.1999999999999993</v>
      </c>
      <c r="Q39">
        <v>0.5</v>
      </c>
      <c r="R39">
        <v>7</v>
      </c>
      <c r="S39">
        <v>7.9</v>
      </c>
      <c r="T39" t="s">
        <v>8</v>
      </c>
      <c r="U39" t="s">
        <v>8</v>
      </c>
      <c r="V39">
        <v>0</v>
      </c>
      <c r="W39" t="s">
        <v>8</v>
      </c>
      <c r="X39" t="s">
        <v>8</v>
      </c>
      <c r="Y39" t="s">
        <v>8</v>
      </c>
      <c r="Z39" t="s">
        <v>8</v>
      </c>
      <c r="AA39" t="s">
        <v>8</v>
      </c>
      <c r="AB39" t="s">
        <v>8</v>
      </c>
      <c r="AC39" t="s">
        <v>8</v>
      </c>
    </row>
    <row r="40" spans="1:32" x14ac:dyDescent="0.25">
      <c r="A40">
        <v>33</v>
      </c>
      <c r="B40" t="s">
        <v>68</v>
      </c>
      <c r="C40" t="s">
        <v>69</v>
      </c>
      <c r="D40" s="6">
        <f t="shared" si="6"/>
        <v>7.8000000000000007</v>
      </c>
      <c r="E40">
        <v>9.6</v>
      </c>
      <c r="F40">
        <v>134</v>
      </c>
      <c r="G40" s="3">
        <f t="shared" si="7"/>
        <v>5</v>
      </c>
      <c r="H40" s="3">
        <f t="shared" si="8"/>
        <v>4</v>
      </c>
      <c r="I40" s="3">
        <f t="shared" si="9"/>
        <v>1</v>
      </c>
      <c r="J40" s="3">
        <f t="shared" si="10"/>
        <v>0</v>
      </c>
      <c r="K40" s="3">
        <f t="shared" si="11"/>
        <v>14</v>
      </c>
      <c r="L40">
        <v>18.899999999999999</v>
      </c>
      <c r="M40">
        <v>7.4</v>
      </c>
      <c r="N40">
        <v>10</v>
      </c>
      <c r="O40">
        <v>15.5</v>
      </c>
      <c r="P40">
        <v>7.9</v>
      </c>
      <c r="Q40">
        <v>1.4</v>
      </c>
      <c r="R40" t="s">
        <v>8</v>
      </c>
      <c r="S40" t="s">
        <v>8</v>
      </c>
      <c r="T40">
        <v>1.7</v>
      </c>
      <c r="U40" t="s">
        <v>7</v>
      </c>
      <c r="V40">
        <v>7.9</v>
      </c>
      <c r="W40">
        <v>3.7</v>
      </c>
      <c r="X40">
        <v>7.2</v>
      </c>
      <c r="Y40">
        <v>7.7</v>
      </c>
      <c r="Z40">
        <v>18.399999999999999</v>
      </c>
      <c r="AA40">
        <v>24.1</v>
      </c>
      <c r="AB40">
        <v>2.2000000000000002</v>
      </c>
      <c r="AC40" t="s">
        <v>8</v>
      </c>
    </row>
    <row r="41" spans="1:32" x14ac:dyDescent="0.25">
      <c r="A41">
        <v>42</v>
      </c>
      <c r="B41" t="s">
        <v>80</v>
      </c>
      <c r="C41" t="s">
        <v>47</v>
      </c>
      <c r="D41" s="6">
        <f t="shared" si="6"/>
        <v>7.65</v>
      </c>
      <c r="E41">
        <v>9.5</v>
      </c>
      <c r="F41">
        <v>113.6</v>
      </c>
      <c r="G41" s="3">
        <f t="shared" si="7"/>
        <v>5</v>
      </c>
      <c r="H41" s="3">
        <f t="shared" si="8"/>
        <v>2</v>
      </c>
      <c r="I41" s="3">
        <f t="shared" si="9"/>
        <v>2</v>
      </c>
      <c r="J41" s="3">
        <f t="shared" si="10"/>
        <v>0</v>
      </c>
      <c r="K41" s="3">
        <f t="shared" si="11"/>
        <v>12</v>
      </c>
      <c r="L41">
        <v>7.2</v>
      </c>
      <c r="M41">
        <v>5.0999999999999996</v>
      </c>
      <c r="N41">
        <v>10.1</v>
      </c>
      <c r="O41">
        <v>11.9</v>
      </c>
      <c r="P41" t="s">
        <v>7</v>
      </c>
      <c r="Q41">
        <v>2.7</v>
      </c>
      <c r="R41" t="s">
        <v>8</v>
      </c>
      <c r="S41" t="s">
        <v>8</v>
      </c>
      <c r="T41" t="s">
        <v>8</v>
      </c>
      <c r="U41">
        <v>8.1</v>
      </c>
      <c r="V41">
        <v>2.8</v>
      </c>
      <c r="W41" t="s">
        <v>8</v>
      </c>
      <c r="X41">
        <v>0.3</v>
      </c>
      <c r="Y41">
        <v>3.3</v>
      </c>
      <c r="Z41">
        <v>27.2</v>
      </c>
      <c r="AA41">
        <v>21.6</v>
      </c>
      <c r="AB41">
        <v>13.3</v>
      </c>
      <c r="AC41" t="s">
        <v>8</v>
      </c>
    </row>
    <row r="42" spans="1:32" x14ac:dyDescent="0.25">
      <c r="A42">
        <v>37</v>
      </c>
      <c r="B42" t="s">
        <v>74</v>
      </c>
      <c r="C42" t="s">
        <v>12</v>
      </c>
      <c r="D42" s="6">
        <f t="shared" si="6"/>
        <v>7.4</v>
      </c>
      <c r="E42">
        <v>8.5</v>
      </c>
      <c r="F42">
        <v>127.1</v>
      </c>
      <c r="G42" s="3">
        <f t="shared" si="7"/>
        <v>5</v>
      </c>
      <c r="H42" s="3">
        <f t="shared" si="8"/>
        <v>2</v>
      </c>
      <c r="I42" s="3">
        <f t="shared" si="9"/>
        <v>1</v>
      </c>
      <c r="J42" s="3">
        <f t="shared" si="10"/>
        <v>0</v>
      </c>
      <c r="K42" s="3">
        <f t="shared" si="11"/>
        <v>15</v>
      </c>
      <c r="L42">
        <v>11.5</v>
      </c>
      <c r="M42">
        <v>5.2</v>
      </c>
      <c r="N42">
        <v>7.4</v>
      </c>
      <c r="O42">
        <v>21.6</v>
      </c>
      <c r="P42">
        <v>3.5</v>
      </c>
      <c r="Q42">
        <v>1.4</v>
      </c>
      <c r="R42">
        <v>13.8</v>
      </c>
      <c r="S42">
        <v>2.9</v>
      </c>
      <c r="T42">
        <v>8.8000000000000007</v>
      </c>
      <c r="U42">
        <v>1.8</v>
      </c>
      <c r="V42">
        <v>8.1</v>
      </c>
      <c r="W42">
        <v>14.2</v>
      </c>
      <c r="X42">
        <v>6.1</v>
      </c>
      <c r="Y42" t="s">
        <v>7</v>
      </c>
      <c r="Z42">
        <v>17.8</v>
      </c>
      <c r="AA42">
        <v>3</v>
      </c>
      <c r="AB42" t="s">
        <v>8</v>
      </c>
      <c r="AC42" t="s">
        <v>8</v>
      </c>
    </row>
    <row r="43" spans="1:32" x14ac:dyDescent="0.25">
      <c r="A43">
        <v>54</v>
      </c>
      <c r="B43" t="s">
        <v>91</v>
      </c>
      <c r="C43" t="s">
        <v>43</v>
      </c>
      <c r="D43" s="6">
        <f t="shared" si="6"/>
        <v>6.6</v>
      </c>
      <c r="E43">
        <v>6</v>
      </c>
      <c r="F43">
        <v>77.400000000000006</v>
      </c>
      <c r="G43" s="3">
        <f t="shared" si="7"/>
        <v>3</v>
      </c>
      <c r="H43" s="3">
        <f t="shared" si="8"/>
        <v>0</v>
      </c>
      <c r="I43" s="3">
        <f t="shared" si="9"/>
        <v>0</v>
      </c>
      <c r="J43" s="3">
        <f t="shared" si="10"/>
        <v>0</v>
      </c>
      <c r="K43" s="3">
        <f t="shared" si="11"/>
        <v>13</v>
      </c>
      <c r="L43" t="s">
        <v>8</v>
      </c>
      <c r="M43" t="s">
        <v>8</v>
      </c>
      <c r="N43">
        <v>10.199999999999999</v>
      </c>
      <c r="O43">
        <v>8.6</v>
      </c>
      <c r="P43">
        <v>14.5</v>
      </c>
      <c r="Q43">
        <v>5.3</v>
      </c>
      <c r="R43" t="s">
        <v>7</v>
      </c>
      <c r="S43">
        <v>6.6</v>
      </c>
      <c r="T43">
        <v>4.0999999999999996</v>
      </c>
      <c r="U43">
        <v>1.1000000000000001</v>
      </c>
      <c r="V43">
        <v>11.1</v>
      </c>
      <c r="W43">
        <v>8.1999999999999993</v>
      </c>
      <c r="X43">
        <v>0</v>
      </c>
      <c r="Y43" t="s">
        <v>8</v>
      </c>
      <c r="Z43" t="s">
        <v>8</v>
      </c>
      <c r="AA43">
        <v>0.3</v>
      </c>
      <c r="AB43">
        <v>0.5</v>
      </c>
      <c r="AC43">
        <v>6.9</v>
      </c>
    </row>
    <row r="44" spans="1:32" x14ac:dyDescent="0.25">
      <c r="A44">
        <v>44</v>
      </c>
      <c r="B44" t="s">
        <v>81</v>
      </c>
      <c r="C44" t="s">
        <v>57</v>
      </c>
      <c r="D44" s="6">
        <f t="shared" si="6"/>
        <v>6.3</v>
      </c>
      <c r="E44">
        <v>6.1</v>
      </c>
      <c r="F44">
        <v>103.4</v>
      </c>
      <c r="G44" s="3">
        <f t="shared" si="7"/>
        <v>4</v>
      </c>
      <c r="H44" s="3">
        <f t="shared" si="8"/>
        <v>0</v>
      </c>
      <c r="I44" s="3">
        <f t="shared" si="9"/>
        <v>0</v>
      </c>
      <c r="J44" s="3">
        <f t="shared" si="10"/>
        <v>0</v>
      </c>
      <c r="K44" s="3">
        <f t="shared" si="11"/>
        <v>17</v>
      </c>
      <c r="L44">
        <v>1.8</v>
      </c>
      <c r="M44">
        <v>11.3</v>
      </c>
      <c r="N44">
        <v>6.7</v>
      </c>
      <c r="O44">
        <v>10.9</v>
      </c>
      <c r="P44">
        <v>6.6</v>
      </c>
      <c r="Q44">
        <v>7.3</v>
      </c>
      <c r="R44">
        <v>2.2999999999999998</v>
      </c>
      <c r="S44">
        <v>0.7</v>
      </c>
      <c r="T44">
        <v>2.1</v>
      </c>
      <c r="U44">
        <v>2.6</v>
      </c>
      <c r="V44">
        <v>3</v>
      </c>
      <c r="W44">
        <v>5.5</v>
      </c>
      <c r="X44">
        <v>12.2</v>
      </c>
      <c r="Y44" t="s">
        <v>7</v>
      </c>
      <c r="Z44">
        <v>8.4</v>
      </c>
      <c r="AA44">
        <v>5.6</v>
      </c>
      <c r="AB44">
        <v>6.3</v>
      </c>
      <c r="AC44">
        <v>10.1</v>
      </c>
    </row>
    <row r="45" spans="1:32" x14ac:dyDescent="0.25">
      <c r="A45">
        <v>36</v>
      </c>
      <c r="B45" t="s">
        <v>65</v>
      </c>
      <c r="C45" t="s">
        <v>66</v>
      </c>
      <c r="D45" s="6">
        <f t="shared" si="6"/>
        <v>5.9</v>
      </c>
      <c r="E45">
        <v>8.1</v>
      </c>
      <c r="F45">
        <v>129</v>
      </c>
      <c r="G45" s="3">
        <f t="shared" si="7"/>
        <v>6</v>
      </c>
      <c r="H45" s="3">
        <f t="shared" si="8"/>
        <v>2</v>
      </c>
      <c r="I45" s="3">
        <f t="shared" si="9"/>
        <v>2</v>
      </c>
      <c r="J45" s="3">
        <f t="shared" si="10"/>
        <v>0</v>
      </c>
      <c r="K45" s="3">
        <f t="shared" si="11"/>
        <v>16</v>
      </c>
      <c r="L45">
        <v>7.3</v>
      </c>
      <c r="M45">
        <v>0</v>
      </c>
      <c r="N45">
        <v>0.9</v>
      </c>
      <c r="O45">
        <v>9</v>
      </c>
      <c r="P45">
        <v>25.9</v>
      </c>
      <c r="Q45">
        <v>2.4</v>
      </c>
      <c r="R45">
        <v>23.8</v>
      </c>
      <c r="S45">
        <v>10.6</v>
      </c>
      <c r="T45">
        <v>2.2000000000000002</v>
      </c>
      <c r="U45">
        <v>0.4</v>
      </c>
      <c r="V45" t="s">
        <v>8</v>
      </c>
      <c r="W45" t="s">
        <v>7</v>
      </c>
      <c r="X45">
        <v>4.5</v>
      </c>
      <c r="Y45">
        <v>13.2</v>
      </c>
      <c r="Z45">
        <v>4.2</v>
      </c>
      <c r="AA45">
        <v>10.1</v>
      </c>
      <c r="AB45">
        <v>3.3</v>
      </c>
      <c r="AC45">
        <v>11.2</v>
      </c>
    </row>
    <row r="46" spans="1:32" x14ac:dyDescent="0.25">
      <c r="A46">
        <v>64</v>
      </c>
      <c r="B46" t="s">
        <v>102</v>
      </c>
      <c r="C46" t="s">
        <v>62</v>
      </c>
      <c r="D46" s="6">
        <f t="shared" si="6"/>
        <v>5.9</v>
      </c>
      <c r="E46">
        <v>8.1</v>
      </c>
      <c r="F46">
        <v>56.9</v>
      </c>
      <c r="G46" s="3">
        <f t="shared" si="7"/>
        <v>2</v>
      </c>
      <c r="H46" s="3">
        <f t="shared" si="8"/>
        <v>2</v>
      </c>
      <c r="I46" s="3">
        <f t="shared" si="9"/>
        <v>0</v>
      </c>
      <c r="J46" s="3">
        <f t="shared" si="10"/>
        <v>0</v>
      </c>
      <c r="K46" s="3">
        <f t="shared" si="11"/>
        <v>7</v>
      </c>
      <c r="L46">
        <v>15.8</v>
      </c>
      <c r="M46">
        <v>16.100000000000001</v>
      </c>
      <c r="N46" t="s">
        <v>8</v>
      </c>
      <c r="O46" t="s">
        <v>8</v>
      </c>
      <c r="P46" t="s">
        <v>8</v>
      </c>
      <c r="Q46" t="s">
        <v>7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>
        <v>5.9</v>
      </c>
      <c r="Y46">
        <v>8.1</v>
      </c>
      <c r="Z46">
        <v>5.7</v>
      </c>
      <c r="AA46">
        <v>3.5</v>
      </c>
      <c r="AB46">
        <v>1.8</v>
      </c>
      <c r="AC46" t="s">
        <v>8</v>
      </c>
    </row>
    <row r="47" spans="1:32" x14ac:dyDescent="0.25">
      <c r="A47">
        <v>45</v>
      </c>
      <c r="B47" t="s">
        <v>86</v>
      </c>
      <c r="C47" t="s">
        <v>50</v>
      </c>
      <c r="D47" s="6">
        <f t="shared" si="6"/>
        <v>5.6999999999999993</v>
      </c>
      <c r="E47">
        <v>6.1</v>
      </c>
      <c r="F47">
        <v>97.2</v>
      </c>
      <c r="G47" s="3">
        <f t="shared" si="7"/>
        <v>2</v>
      </c>
      <c r="H47" s="3">
        <f t="shared" si="8"/>
        <v>0</v>
      </c>
      <c r="I47" s="3">
        <f t="shared" si="9"/>
        <v>0</v>
      </c>
      <c r="J47" s="3">
        <f t="shared" si="10"/>
        <v>0</v>
      </c>
      <c r="K47" s="3">
        <f t="shared" si="11"/>
        <v>16</v>
      </c>
      <c r="L47">
        <v>5.8</v>
      </c>
      <c r="M47">
        <v>0.6</v>
      </c>
      <c r="N47">
        <v>8.4</v>
      </c>
      <c r="O47">
        <v>5.6</v>
      </c>
      <c r="P47">
        <v>11.5</v>
      </c>
      <c r="Q47">
        <v>4.5</v>
      </c>
      <c r="R47">
        <v>3.5</v>
      </c>
      <c r="S47">
        <v>12.6</v>
      </c>
      <c r="T47">
        <v>5</v>
      </c>
      <c r="U47">
        <v>1.2</v>
      </c>
      <c r="V47">
        <v>1.9</v>
      </c>
      <c r="W47">
        <v>4.4000000000000004</v>
      </c>
      <c r="X47">
        <v>9.4</v>
      </c>
      <c r="Y47" t="s">
        <v>7</v>
      </c>
      <c r="Z47">
        <v>6.4</v>
      </c>
      <c r="AA47" t="s">
        <v>8</v>
      </c>
      <c r="AB47">
        <v>9.6</v>
      </c>
      <c r="AC47">
        <v>6.8</v>
      </c>
    </row>
    <row r="48" spans="1:32" x14ac:dyDescent="0.25">
      <c r="A48">
        <v>43</v>
      </c>
      <c r="B48" t="s">
        <v>79</v>
      </c>
      <c r="C48" t="s">
        <v>14</v>
      </c>
      <c r="D48" s="6">
        <f t="shared" si="6"/>
        <v>5.5</v>
      </c>
      <c r="E48">
        <v>6.2</v>
      </c>
      <c r="F48">
        <v>106.2</v>
      </c>
      <c r="G48" s="3">
        <f t="shared" si="7"/>
        <v>3</v>
      </c>
      <c r="H48" s="3">
        <f t="shared" si="8"/>
        <v>1</v>
      </c>
      <c r="I48" s="3">
        <f t="shared" si="9"/>
        <v>0</v>
      </c>
      <c r="J48" s="3">
        <f t="shared" si="10"/>
        <v>0</v>
      </c>
      <c r="K48" s="3">
        <f t="shared" si="11"/>
        <v>17</v>
      </c>
      <c r="L48">
        <v>2.1</v>
      </c>
      <c r="M48">
        <v>7.5</v>
      </c>
      <c r="N48">
        <v>3.2</v>
      </c>
      <c r="O48">
        <v>10</v>
      </c>
      <c r="P48">
        <v>5.5</v>
      </c>
      <c r="Q48">
        <v>19.8</v>
      </c>
      <c r="R48">
        <v>5.5</v>
      </c>
      <c r="S48">
        <v>3.3</v>
      </c>
      <c r="T48">
        <v>7.8</v>
      </c>
      <c r="U48">
        <v>5.9</v>
      </c>
      <c r="V48">
        <v>0.9</v>
      </c>
      <c r="W48" t="s">
        <v>7</v>
      </c>
      <c r="X48">
        <v>3.2</v>
      </c>
      <c r="Y48">
        <v>12.3</v>
      </c>
      <c r="Z48">
        <v>4.3</v>
      </c>
      <c r="AA48">
        <v>4.0999999999999996</v>
      </c>
      <c r="AB48">
        <v>1.9</v>
      </c>
      <c r="AC48">
        <v>8.9</v>
      </c>
    </row>
    <row r="49" spans="1:29" x14ac:dyDescent="0.25">
      <c r="A49">
        <v>49</v>
      </c>
      <c r="B49" t="s">
        <v>84</v>
      </c>
      <c r="C49" t="s">
        <v>26</v>
      </c>
      <c r="D49" s="6">
        <f t="shared" si="6"/>
        <v>5.5</v>
      </c>
      <c r="E49">
        <v>5.8</v>
      </c>
      <c r="F49">
        <v>93.2</v>
      </c>
      <c r="G49" s="3">
        <f t="shared" si="7"/>
        <v>3</v>
      </c>
      <c r="H49" s="3">
        <f t="shared" si="8"/>
        <v>0</v>
      </c>
      <c r="I49" s="3">
        <f t="shared" si="9"/>
        <v>0</v>
      </c>
      <c r="J49" s="3">
        <f t="shared" si="10"/>
        <v>0</v>
      </c>
      <c r="K49" s="3">
        <f t="shared" si="11"/>
        <v>16</v>
      </c>
      <c r="L49" t="s">
        <v>8</v>
      </c>
      <c r="M49">
        <v>2.5</v>
      </c>
      <c r="N49">
        <v>9.9</v>
      </c>
      <c r="O49">
        <v>5.3</v>
      </c>
      <c r="P49">
        <v>12.7</v>
      </c>
      <c r="Q49">
        <v>-0.1</v>
      </c>
      <c r="R49">
        <v>0</v>
      </c>
      <c r="S49" t="s">
        <v>8</v>
      </c>
      <c r="T49">
        <v>7.3</v>
      </c>
      <c r="U49">
        <v>5.7</v>
      </c>
      <c r="V49">
        <v>11.6</v>
      </c>
      <c r="W49">
        <v>3.5</v>
      </c>
      <c r="X49">
        <v>2.2000000000000002</v>
      </c>
      <c r="Y49">
        <v>3.7</v>
      </c>
      <c r="Z49">
        <v>8.4</v>
      </c>
      <c r="AA49">
        <v>0.3</v>
      </c>
      <c r="AB49">
        <v>11.3</v>
      </c>
      <c r="AC49">
        <v>8.9</v>
      </c>
    </row>
    <row r="50" spans="1:29" x14ac:dyDescent="0.25">
      <c r="A50">
        <v>55</v>
      </c>
      <c r="B50" t="s">
        <v>93</v>
      </c>
      <c r="C50" t="s">
        <v>64</v>
      </c>
      <c r="D50" s="6">
        <f t="shared" si="6"/>
        <v>5.3</v>
      </c>
      <c r="E50">
        <v>7</v>
      </c>
      <c r="F50">
        <v>77.3</v>
      </c>
      <c r="G50" s="3">
        <f t="shared" si="7"/>
        <v>3</v>
      </c>
      <c r="H50" s="3">
        <f t="shared" si="8"/>
        <v>1</v>
      </c>
      <c r="I50" s="3">
        <f t="shared" si="9"/>
        <v>1</v>
      </c>
      <c r="J50" s="3">
        <f t="shared" si="10"/>
        <v>0</v>
      </c>
      <c r="K50" s="3">
        <f t="shared" si="11"/>
        <v>11</v>
      </c>
      <c r="L50">
        <v>2.2000000000000002</v>
      </c>
      <c r="M50">
        <v>5.5</v>
      </c>
      <c r="N50">
        <v>11</v>
      </c>
      <c r="O50">
        <v>7.6</v>
      </c>
      <c r="P50">
        <v>5.3</v>
      </c>
      <c r="Q50">
        <v>2.2999999999999998</v>
      </c>
      <c r="R50">
        <v>3.8</v>
      </c>
      <c r="S50">
        <v>11.5</v>
      </c>
      <c r="T50">
        <v>1</v>
      </c>
      <c r="U50">
        <v>0.5</v>
      </c>
      <c r="V50" t="s">
        <v>8</v>
      </c>
      <c r="W50" t="s">
        <v>8</v>
      </c>
      <c r="X50" t="s">
        <v>8</v>
      </c>
      <c r="Y50" t="s">
        <v>8</v>
      </c>
      <c r="Z50" t="s">
        <v>8</v>
      </c>
      <c r="AA50" t="s">
        <v>8</v>
      </c>
      <c r="AB50" t="s">
        <v>8</v>
      </c>
      <c r="AC50">
        <v>26.6</v>
      </c>
    </row>
    <row r="51" spans="1:29" x14ac:dyDescent="0.25">
      <c r="A51">
        <v>38</v>
      </c>
      <c r="B51" t="s">
        <v>75</v>
      </c>
      <c r="C51" t="s">
        <v>76</v>
      </c>
      <c r="D51" s="6">
        <f t="shared" si="6"/>
        <v>5.1999999999999993</v>
      </c>
      <c r="E51">
        <v>7.8</v>
      </c>
      <c r="F51">
        <v>125.2</v>
      </c>
      <c r="G51" s="3">
        <f t="shared" si="7"/>
        <v>6</v>
      </c>
      <c r="H51" s="3">
        <f t="shared" si="8"/>
        <v>4</v>
      </c>
      <c r="I51" s="3">
        <f t="shared" si="9"/>
        <v>0</v>
      </c>
      <c r="J51" s="3">
        <f t="shared" si="10"/>
        <v>0</v>
      </c>
      <c r="K51" s="3">
        <f t="shared" si="11"/>
        <v>16</v>
      </c>
      <c r="L51">
        <v>0</v>
      </c>
      <c r="M51">
        <v>2.2000000000000002</v>
      </c>
      <c r="N51">
        <v>3.3</v>
      </c>
      <c r="O51">
        <v>0</v>
      </c>
      <c r="P51">
        <v>14.1</v>
      </c>
      <c r="Q51">
        <v>4.8</v>
      </c>
      <c r="R51">
        <v>0</v>
      </c>
      <c r="S51">
        <v>2.1</v>
      </c>
      <c r="T51">
        <v>5.6</v>
      </c>
      <c r="U51" t="s">
        <v>8</v>
      </c>
      <c r="V51">
        <v>10.7</v>
      </c>
      <c r="W51">
        <v>17.5</v>
      </c>
      <c r="X51">
        <v>7.3</v>
      </c>
      <c r="Y51">
        <v>0.8</v>
      </c>
      <c r="Z51">
        <v>19.600000000000001</v>
      </c>
      <c r="AA51">
        <v>19.5</v>
      </c>
      <c r="AB51">
        <v>17.7</v>
      </c>
      <c r="AC51" t="s">
        <v>8</v>
      </c>
    </row>
    <row r="52" spans="1:29" x14ac:dyDescent="0.25">
      <c r="A52">
        <v>56</v>
      </c>
      <c r="B52" t="s">
        <v>96</v>
      </c>
      <c r="C52" t="s">
        <v>97</v>
      </c>
      <c r="D52" s="6">
        <f t="shared" si="6"/>
        <v>5.0999999999999996</v>
      </c>
      <c r="E52">
        <v>5.5</v>
      </c>
      <c r="F52">
        <v>70.900000000000006</v>
      </c>
      <c r="G52" s="3">
        <f t="shared" si="7"/>
        <v>2</v>
      </c>
      <c r="H52" s="3">
        <f t="shared" si="8"/>
        <v>1</v>
      </c>
      <c r="I52" s="3">
        <f t="shared" si="9"/>
        <v>0</v>
      </c>
      <c r="J52" s="3">
        <f t="shared" si="10"/>
        <v>0</v>
      </c>
      <c r="K52" s="3">
        <f t="shared" si="11"/>
        <v>13</v>
      </c>
      <c r="L52">
        <v>3.9</v>
      </c>
      <c r="M52" t="s">
        <v>8</v>
      </c>
      <c r="N52" t="s">
        <v>8</v>
      </c>
      <c r="O52" t="s">
        <v>8</v>
      </c>
      <c r="P52">
        <v>11.8</v>
      </c>
      <c r="Q52" t="s">
        <v>8</v>
      </c>
      <c r="R52">
        <v>3</v>
      </c>
      <c r="S52">
        <v>16</v>
      </c>
      <c r="T52">
        <v>8.8000000000000007</v>
      </c>
      <c r="U52">
        <v>5.4</v>
      </c>
      <c r="V52">
        <v>-0.2</v>
      </c>
      <c r="W52">
        <v>1.2</v>
      </c>
      <c r="X52">
        <v>5.4</v>
      </c>
      <c r="Y52" t="s">
        <v>8</v>
      </c>
      <c r="Z52">
        <v>5.0999999999999996</v>
      </c>
      <c r="AA52">
        <v>6.6</v>
      </c>
      <c r="AB52">
        <v>3.9</v>
      </c>
      <c r="AC52">
        <v>0</v>
      </c>
    </row>
    <row r="53" spans="1:29" x14ac:dyDescent="0.25">
      <c r="A53">
        <v>60</v>
      </c>
      <c r="B53" t="s">
        <v>98</v>
      </c>
      <c r="C53" t="s">
        <v>32</v>
      </c>
      <c r="D53" s="6">
        <f t="shared" si="6"/>
        <v>5.0999999999999996</v>
      </c>
      <c r="E53">
        <v>7.9</v>
      </c>
      <c r="F53">
        <v>63.3</v>
      </c>
      <c r="G53" s="3">
        <f t="shared" si="7"/>
        <v>3</v>
      </c>
      <c r="H53" s="3">
        <f t="shared" si="8"/>
        <v>1</v>
      </c>
      <c r="I53" s="3">
        <f t="shared" si="9"/>
        <v>0</v>
      </c>
      <c r="J53" s="3">
        <f t="shared" si="10"/>
        <v>0</v>
      </c>
      <c r="K53" s="3">
        <f t="shared" si="11"/>
        <v>8</v>
      </c>
      <c r="L53" t="s">
        <v>8</v>
      </c>
      <c r="M53" t="s">
        <v>8</v>
      </c>
      <c r="N53" t="s">
        <v>8</v>
      </c>
      <c r="O53" t="s">
        <v>8</v>
      </c>
      <c r="P53" t="s">
        <v>8</v>
      </c>
      <c r="Q53" t="s">
        <v>8</v>
      </c>
      <c r="R53">
        <v>10.199999999999999</v>
      </c>
      <c r="S53">
        <v>5.2</v>
      </c>
      <c r="T53">
        <v>4.5</v>
      </c>
      <c r="U53" t="s">
        <v>8</v>
      </c>
      <c r="V53">
        <v>5</v>
      </c>
      <c r="W53">
        <v>19</v>
      </c>
      <c r="X53">
        <v>12.5</v>
      </c>
      <c r="Y53">
        <v>4.8</v>
      </c>
      <c r="Z53">
        <v>2.1</v>
      </c>
      <c r="AA53" t="s">
        <v>8</v>
      </c>
      <c r="AB53" t="s">
        <v>8</v>
      </c>
      <c r="AC53" t="s">
        <v>8</v>
      </c>
    </row>
    <row r="54" spans="1:29" x14ac:dyDescent="0.25">
      <c r="A54">
        <v>53</v>
      </c>
      <c r="B54" t="s">
        <v>92</v>
      </c>
      <c r="C54" t="s">
        <v>30</v>
      </c>
      <c r="D54" s="6">
        <f t="shared" si="6"/>
        <v>4.4000000000000004</v>
      </c>
      <c r="E54">
        <v>4.8</v>
      </c>
      <c r="F54">
        <v>81.400000000000006</v>
      </c>
      <c r="G54" s="3">
        <f t="shared" si="7"/>
        <v>1</v>
      </c>
      <c r="H54" s="3">
        <f t="shared" si="8"/>
        <v>0</v>
      </c>
      <c r="I54" s="3">
        <f t="shared" si="9"/>
        <v>0</v>
      </c>
      <c r="J54" s="3">
        <f t="shared" si="10"/>
        <v>0</v>
      </c>
      <c r="K54" s="3">
        <f t="shared" si="11"/>
        <v>17</v>
      </c>
      <c r="L54">
        <v>2</v>
      </c>
      <c r="M54">
        <v>1.3</v>
      </c>
      <c r="N54">
        <v>7</v>
      </c>
      <c r="O54">
        <v>7.4</v>
      </c>
      <c r="P54">
        <v>3.4</v>
      </c>
      <c r="Q54" t="s">
        <v>8</v>
      </c>
      <c r="R54">
        <v>3.8</v>
      </c>
      <c r="S54">
        <v>5</v>
      </c>
      <c r="T54">
        <v>13.5</v>
      </c>
      <c r="U54">
        <v>5.7</v>
      </c>
      <c r="V54">
        <v>2.8</v>
      </c>
      <c r="W54">
        <v>4.4000000000000004</v>
      </c>
      <c r="X54">
        <v>2.5</v>
      </c>
      <c r="Y54">
        <v>2.9</v>
      </c>
      <c r="Z54">
        <v>4.4000000000000004</v>
      </c>
      <c r="AA54">
        <v>8</v>
      </c>
      <c r="AB54">
        <v>4.9000000000000004</v>
      </c>
      <c r="AC54">
        <v>2.4</v>
      </c>
    </row>
    <row r="55" spans="1:29" x14ac:dyDescent="0.25">
      <c r="A55">
        <v>58</v>
      </c>
      <c r="B55" t="s">
        <v>95</v>
      </c>
      <c r="C55" t="s">
        <v>90</v>
      </c>
      <c r="D55" s="6">
        <f t="shared" si="6"/>
        <v>4.3</v>
      </c>
      <c r="E55">
        <v>5.8</v>
      </c>
      <c r="F55">
        <v>64.099999999999994</v>
      </c>
      <c r="G55" s="3">
        <f t="shared" si="7"/>
        <v>1</v>
      </c>
      <c r="H55" s="3">
        <f t="shared" si="8"/>
        <v>1</v>
      </c>
      <c r="I55" s="3">
        <f t="shared" si="9"/>
        <v>1</v>
      </c>
      <c r="J55" s="3">
        <f t="shared" si="10"/>
        <v>0</v>
      </c>
      <c r="K55" s="3">
        <f t="shared" si="11"/>
        <v>11</v>
      </c>
      <c r="L55">
        <v>3.8</v>
      </c>
      <c r="M55">
        <v>5.9</v>
      </c>
      <c r="N55">
        <v>0.9</v>
      </c>
      <c r="O55">
        <v>1.9</v>
      </c>
      <c r="P55" t="s">
        <v>8</v>
      </c>
      <c r="Q55" t="s">
        <v>8</v>
      </c>
      <c r="R55" t="s">
        <v>8</v>
      </c>
      <c r="S55" t="s">
        <v>8</v>
      </c>
      <c r="T55" t="s">
        <v>8</v>
      </c>
      <c r="U55">
        <v>5.5</v>
      </c>
      <c r="V55">
        <v>2.7</v>
      </c>
      <c r="W55">
        <v>7.1</v>
      </c>
      <c r="X55">
        <v>4.3</v>
      </c>
      <c r="Y55">
        <v>9.6</v>
      </c>
      <c r="Z55">
        <v>2.2999999999999998</v>
      </c>
      <c r="AA55">
        <v>20.100000000000001</v>
      </c>
      <c r="AB55" t="s">
        <v>8</v>
      </c>
      <c r="AC55" t="s">
        <v>8</v>
      </c>
    </row>
    <row r="56" spans="1:29" x14ac:dyDescent="0.25">
      <c r="A56">
        <v>46</v>
      </c>
      <c r="B56" t="s">
        <v>85</v>
      </c>
      <c r="C56" t="s">
        <v>55</v>
      </c>
      <c r="D56" s="6">
        <f t="shared" si="6"/>
        <v>4.1500000000000004</v>
      </c>
      <c r="E56">
        <v>6</v>
      </c>
      <c r="F56">
        <v>96.6</v>
      </c>
      <c r="G56" s="3">
        <f t="shared" si="7"/>
        <v>3</v>
      </c>
      <c r="H56" s="3">
        <f t="shared" si="8"/>
        <v>1</v>
      </c>
      <c r="I56" s="3">
        <f t="shared" si="9"/>
        <v>0</v>
      </c>
      <c r="J56" s="3">
        <f t="shared" si="10"/>
        <v>0</v>
      </c>
      <c r="K56" s="3">
        <f t="shared" si="11"/>
        <v>16</v>
      </c>
      <c r="L56">
        <v>9.1999999999999993</v>
      </c>
      <c r="M56">
        <v>14.5</v>
      </c>
      <c r="N56">
        <v>18.8</v>
      </c>
      <c r="O56">
        <v>4.8</v>
      </c>
      <c r="P56" t="s">
        <v>8</v>
      </c>
      <c r="Q56">
        <v>0</v>
      </c>
      <c r="R56">
        <v>3.1</v>
      </c>
      <c r="S56">
        <v>4.3</v>
      </c>
      <c r="T56">
        <v>3.3</v>
      </c>
      <c r="U56">
        <v>5.5</v>
      </c>
      <c r="V56" t="s">
        <v>7</v>
      </c>
      <c r="W56">
        <v>9</v>
      </c>
      <c r="X56">
        <v>2.2999999999999998</v>
      </c>
      <c r="Y56">
        <v>0.8</v>
      </c>
      <c r="Z56">
        <v>13.1</v>
      </c>
      <c r="AA56">
        <v>1.2</v>
      </c>
      <c r="AB56">
        <v>4</v>
      </c>
      <c r="AC56">
        <v>2.7</v>
      </c>
    </row>
    <row r="57" spans="1:29" x14ac:dyDescent="0.25">
      <c r="A57">
        <v>40</v>
      </c>
      <c r="B57" t="s">
        <v>73</v>
      </c>
      <c r="C57" t="s">
        <v>22</v>
      </c>
      <c r="D57" s="6">
        <f t="shared" si="6"/>
        <v>3.8</v>
      </c>
      <c r="E57">
        <v>6.8</v>
      </c>
      <c r="F57">
        <v>116.1</v>
      </c>
      <c r="G57" s="3">
        <f t="shared" si="7"/>
        <v>6</v>
      </c>
      <c r="H57" s="3">
        <f t="shared" si="8"/>
        <v>2</v>
      </c>
      <c r="I57" s="3">
        <f t="shared" si="9"/>
        <v>0</v>
      </c>
      <c r="J57" s="3">
        <f t="shared" si="10"/>
        <v>0</v>
      </c>
      <c r="K57" s="3">
        <f t="shared" si="11"/>
        <v>17</v>
      </c>
      <c r="L57">
        <v>3.7</v>
      </c>
      <c r="M57">
        <v>3.8</v>
      </c>
      <c r="N57">
        <v>9.3000000000000007</v>
      </c>
      <c r="O57">
        <v>1.1000000000000001</v>
      </c>
      <c r="P57">
        <v>1.4</v>
      </c>
      <c r="Q57">
        <v>18.2</v>
      </c>
      <c r="R57">
        <v>11.7</v>
      </c>
      <c r="S57">
        <v>2.9</v>
      </c>
      <c r="T57">
        <v>17</v>
      </c>
      <c r="U57">
        <v>0.6</v>
      </c>
      <c r="V57">
        <v>1.1000000000000001</v>
      </c>
      <c r="W57" t="s">
        <v>7</v>
      </c>
      <c r="X57">
        <v>13.7</v>
      </c>
      <c r="Y57">
        <v>0</v>
      </c>
      <c r="Z57">
        <v>10.9</v>
      </c>
      <c r="AA57">
        <v>3.9</v>
      </c>
      <c r="AB57">
        <v>2.2999999999999998</v>
      </c>
      <c r="AC57">
        <v>14.5</v>
      </c>
    </row>
    <row r="58" spans="1:29" x14ac:dyDescent="0.25">
      <c r="A58">
        <v>51</v>
      </c>
      <c r="B58" t="s">
        <v>88</v>
      </c>
      <c r="C58" t="s">
        <v>40</v>
      </c>
      <c r="D58" s="6">
        <f t="shared" si="6"/>
        <v>3.8</v>
      </c>
      <c r="E58">
        <v>5</v>
      </c>
      <c r="F58">
        <v>85.2</v>
      </c>
      <c r="G58" s="3">
        <f t="shared" si="7"/>
        <v>2</v>
      </c>
      <c r="H58" s="3">
        <f t="shared" si="8"/>
        <v>1</v>
      </c>
      <c r="I58" s="3">
        <f t="shared" si="9"/>
        <v>0</v>
      </c>
      <c r="J58" s="3">
        <f t="shared" si="10"/>
        <v>0</v>
      </c>
      <c r="K58" s="3">
        <f t="shared" si="11"/>
        <v>17</v>
      </c>
      <c r="L58">
        <v>2.7</v>
      </c>
      <c r="M58">
        <v>19.600000000000001</v>
      </c>
      <c r="N58">
        <v>9.8000000000000007</v>
      </c>
      <c r="O58">
        <v>5.6</v>
      </c>
      <c r="P58">
        <v>3.8</v>
      </c>
      <c r="Q58">
        <v>0.8</v>
      </c>
      <c r="R58">
        <v>1.6</v>
      </c>
      <c r="S58">
        <v>9.1999999999999993</v>
      </c>
      <c r="T58">
        <v>0.9</v>
      </c>
      <c r="U58">
        <v>4.4000000000000004</v>
      </c>
      <c r="V58">
        <v>0.6</v>
      </c>
      <c r="W58" t="s">
        <v>7</v>
      </c>
      <c r="X58">
        <v>4.7</v>
      </c>
      <c r="Y58">
        <v>12.1</v>
      </c>
      <c r="Z58">
        <v>0.5</v>
      </c>
      <c r="AA58">
        <v>2</v>
      </c>
      <c r="AB58">
        <v>2.6</v>
      </c>
      <c r="AC58">
        <v>4.3</v>
      </c>
    </row>
    <row r="59" spans="1:29" x14ac:dyDescent="0.25">
      <c r="A59">
        <v>50</v>
      </c>
      <c r="B59" t="s">
        <v>87</v>
      </c>
      <c r="C59" t="s">
        <v>22</v>
      </c>
      <c r="D59" s="6">
        <f t="shared" si="6"/>
        <v>3.5</v>
      </c>
      <c r="E59">
        <v>5.4</v>
      </c>
      <c r="F59">
        <v>91.7</v>
      </c>
      <c r="G59" s="3">
        <f t="shared" si="7"/>
        <v>3</v>
      </c>
      <c r="H59" s="3">
        <f t="shared" si="8"/>
        <v>1</v>
      </c>
      <c r="I59" s="3">
        <f t="shared" si="9"/>
        <v>0</v>
      </c>
      <c r="J59" s="3">
        <f t="shared" si="10"/>
        <v>0</v>
      </c>
      <c r="K59" s="3">
        <f t="shared" si="11"/>
        <v>17</v>
      </c>
      <c r="L59">
        <v>0.7</v>
      </c>
      <c r="M59">
        <v>4.2</v>
      </c>
      <c r="N59">
        <v>13.6</v>
      </c>
      <c r="O59">
        <v>6.3</v>
      </c>
      <c r="P59">
        <v>1.5</v>
      </c>
      <c r="Q59">
        <v>3.4</v>
      </c>
      <c r="R59">
        <v>7.4</v>
      </c>
      <c r="S59">
        <v>0</v>
      </c>
      <c r="T59">
        <v>2.2999999999999998</v>
      </c>
      <c r="U59">
        <v>6.2</v>
      </c>
      <c r="V59">
        <v>1.8</v>
      </c>
      <c r="W59" t="s">
        <v>7</v>
      </c>
      <c r="X59">
        <v>4.7</v>
      </c>
      <c r="Y59">
        <v>13.5</v>
      </c>
      <c r="Z59">
        <v>17.3</v>
      </c>
      <c r="AA59">
        <v>3</v>
      </c>
      <c r="AB59">
        <v>3.5</v>
      </c>
      <c r="AC59">
        <v>2.2999999999999998</v>
      </c>
    </row>
    <row r="60" spans="1:29" x14ac:dyDescent="0.25">
      <c r="A60">
        <v>68</v>
      </c>
      <c r="B60" t="s">
        <v>106</v>
      </c>
      <c r="C60" t="s">
        <v>50</v>
      </c>
      <c r="D60" s="6">
        <f t="shared" si="6"/>
        <v>2.8</v>
      </c>
      <c r="E60">
        <v>3.7</v>
      </c>
      <c r="F60">
        <v>48.7</v>
      </c>
      <c r="G60" s="3">
        <f t="shared" si="7"/>
        <v>1</v>
      </c>
      <c r="H60" s="3">
        <f t="shared" si="8"/>
        <v>0</v>
      </c>
      <c r="I60" s="3">
        <f t="shared" si="9"/>
        <v>0</v>
      </c>
      <c r="J60" s="3">
        <f t="shared" si="10"/>
        <v>0</v>
      </c>
      <c r="K60" s="3">
        <f t="shared" si="11"/>
        <v>13</v>
      </c>
      <c r="L60">
        <v>1.4</v>
      </c>
      <c r="M60" t="s">
        <v>8</v>
      </c>
      <c r="N60" t="s">
        <v>8</v>
      </c>
      <c r="O60" t="s">
        <v>8</v>
      </c>
      <c r="P60" t="s">
        <v>8</v>
      </c>
      <c r="Q60">
        <v>1.3</v>
      </c>
      <c r="R60">
        <v>0.9</v>
      </c>
      <c r="S60">
        <v>0.4</v>
      </c>
      <c r="T60">
        <v>3.5</v>
      </c>
      <c r="U60">
        <v>5.3</v>
      </c>
      <c r="V60">
        <v>5.5</v>
      </c>
      <c r="W60">
        <v>1.5</v>
      </c>
      <c r="X60">
        <v>1.2</v>
      </c>
      <c r="Y60" t="s">
        <v>7</v>
      </c>
      <c r="Z60">
        <v>2.8</v>
      </c>
      <c r="AA60">
        <v>10.8</v>
      </c>
      <c r="AB60">
        <v>4.7</v>
      </c>
      <c r="AC60">
        <v>9.4</v>
      </c>
    </row>
    <row r="61" spans="1:29" x14ac:dyDescent="0.25">
      <c r="A61">
        <v>47</v>
      </c>
      <c r="B61" t="s">
        <v>82</v>
      </c>
      <c r="C61" t="s">
        <v>16</v>
      </c>
      <c r="D61" s="6">
        <f t="shared" si="6"/>
        <v>2.7</v>
      </c>
      <c r="E61">
        <v>5.6</v>
      </c>
      <c r="F61">
        <v>96</v>
      </c>
      <c r="G61" s="3">
        <f t="shared" si="7"/>
        <v>3</v>
      </c>
      <c r="H61" s="3">
        <f t="shared" si="8"/>
        <v>1</v>
      </c>
      <c r="I61" s="3">
        <f t="shared" si="9"/>
        <v>0</v>
      </c>
      <c r="J61" s="3">
        <f t="shared" si="10"/>
        <v>0</v>
      </c>
      <c r="K61" s="3">
        <f t="shared" si="11"/>
        <v>17</v>
      </c>
      <c r="L61">
        <v>6.8</v>
      </c>
      <c r="M61">
        <v>0.9</v>
      </c>
      <c r="N61">
        <v>16.5</v>
      </c>
      <c r="O61">
        <v>2.7</v>
      </c>
      <c r="P61">
        <v>2.5</v>
      </c>
      <c r="Q61">
        <v>8.3000000000000007</v>
      </c>
      <c r="R61">
        <v>1.1000000000000001</v>
      </c>
      <c r="S61">
        <v>2.2999999999999998</v>
      </c>
      <c r="T61">
        <v>9.9</v>
      </c>
      <c r="U61" t="s">
        <v>7</v>
      </c>
      <c r="V61">
        <v>1.7</v>
      </c>
      <c r="W61">
        <v>4.0999999999999996</v>
      </c>
      <c r="X61">
        <v>2</v>
      </c>
      <c r="Y61">
        <v>0.7</v>
      </c>
      <c r="Z61">
        <v>0.9</v>
      </c>
      <c r="AA61">
        <v>12.6</v>
      </c>
      <c r="AB61">
        <v>8.9</v>
      </c>
      <c r="AC61">
        <v>14.1</v>
      </c>
    </row>
    <row r="62" spans="1:29" x14ac:dyDescent="0.25">
      <c r="A62">
        <v>70</v>
      </c>
      <c r="B62" t="s">
        <v>108</v>
      </c>
      <c r="C62" t="s">
        <v>28</v>
      </c>
      <c r="D62" s="6">
        <f t="shared" si="6"/>
        <v>2.6</v>
      </c>
      <c r="E62">
        <v>3.6</v>
      </c>
      <c r="F62">
        <v>47</v>
      </c>
      <c r="G62" s="3">
        <f t="shared" si="7"/>
        <v>2</v>
      </c>
      <c r="H62" s="3">
        <f t="shared" si="8"/>
        <v>0</v>
      </c>
      <c r="I62" s="3">
        <f t="shared" si="9"/>
        <v>0</v>
      </c>
      <c r="J62" s="3">
        <f t="shared" si="10"/>
        <v>0</v>
      </c>
      <c r="K62" s="3">
        <f t="shared" si="11"/>
        <v>13</v>
      </c>
      <c r="L62">
        <v>2.8</v>
      </c>
      <c r="M62">
        <v>2.7</v>
      </c>
      <c r="N62">
        <v>0.8</v>
      </c>
      <c r="O62">
        <v>5</v>
      </c>
      <c r="P62" t="s">
        <v>8</v>
      </c>
      <c r="Q62">
        <v>2.6</v>
      </c>
      <c r="R62">
        <v>0</v>
      </c>
      <c r="S62">
        <v>1</v>
      </c>
      <c r="T62">
        <v>12.5</v>
      </c>
      <c r="U62">
        <v>10.7</v>
      </c>
      <c r="V62" t="s">
        <v>7</v>
      </c>
      <c r="W62">
        <v>1.8</v>
      </c>
      <c r="X62">
        <v>2</v>
      </c>
      <c r="Y62">
        <v>2.9</v>
      </c>
      <c r="Z62">
        <v>2.2000000000000002</v>
      </c>
      <c r="AA62" t="s">
        <v>8</v>
      </c>
      <c r="AB62" t="s">
        <v>8</v>
      </c>
      <c r="AC62" t="s">
        <v>8</v>
      </c>
    </row>
    <row r="63" spans="1:29" x14ac:dyDescent="0.25">
      <c r="A63">
        <v>66</v>
      </c>
      <c r="B63" t="s">
        <v>104</v>
      </c>
      <c r="C63" t="s">
        <v>28</v>
      </c>
      <c r="D63" s="6">
        <f t="shared" si="6"/>
        <v>2.5</v>
      </c>
      <c r="E63">
        <v>4.2</v>
      </c>
      <c r="F63">
        <v>54.7</v>
      </c>
      <c r="G63" s="3">
        <f t="shared" si="7"/>
        <v>2</v>
      </c>
      <c r="H63" s="3">
        <f t="shared" si="8"/>
        <v>1</v>
      </c>
      <c r="I63" s="3">
        <f t="shared" si="9"/>
        <v>0</v>
      </c>
      <c r="J63" s="3">
        <f t="shared" si="10"/>
        <v>0</v>
      </c>
      <c r="K63" s="3">
        <f t="shared" si="11"/>
        <v>13</v>
      </c>
      <c r="L63">
        <v>4.5999999999999996</v>
      </c>
      <c r="M63">
        <v>4.5999999999999996</v>
      </c>
      <c r="N63">
        <v>0.7</v>
      </c>
      <c r="O63">
        <v>3.4</v>
      </c>
      <c r="P63">
        <v>1</v>
      </c>
      <c r="Q63">
        <v>11.4</v>
      </c>
      <c r="R63">
        <v>1.4</v>
      </c>
      <c r="S63">
        <v>0</v>
      </c>
      <c r="T63">
        <v>16</v>
      </c>
      <c r="U63">
        <v>2.2000000000000002</v>
      </c>
      <c r="V63" t="s">
        <v>7</v>
      </c>
      <c r="W63">
        <v>1.4</v>
      </c>
      <c r="X63">
        <v>2.5</v>
      </c>
      <c r="Y63">
        <v>5.5</v>
      </c>
      <c r="Z63" t="s">
        <v>8</v>
      </c>
      <c r="AA63" t="s">
        <v>8</v>
      </c>
      <c r="AB63" t="s">
        <v>8</v>
      </c>
      <c r="AC63" t="s">
        <v>8</v>
      </c>
    </row>
    <row r="64" spans="1:29" x14ac:dyDescent="0.25">
      <c r="A64">
        <v>61</v>
      </c>
      <c r="B64" t="s">
        <v>100</v>
      </c>
      <c r="C64" t="s">
        <v>78</v>
      </c>
      <c r="D64" s="6">
        <f t="shared" si="6"/>
        <v>2.2999999999999998</v>
      </c>
      <c r="E64">
        <v>3.7</v>
      </c>
      <c r="F64">
        <v>62.6</v>
      </c>
      <c r="G64" s="3">
        <f t="shared" si="7"/>
        <v>0</v>
      </c>
      <c r="H64" s="3">
        <f t="shared" si="8"/>
        <v>0</v>
      </c>
      <c r="I64" s="3">
        <f t="shared" si="9"/>
        <v>0</v>
      </c>
      <c r="J64" s="3">
        <f t="shared" si="10"/>
        <v>0</v>
      </c>
      <c r="K64" s="3">
        <f t="shared" si="11"/>
        <v>17</v>
      </c>
      <c r="L64">
        <v>2.2000000000000002</v>
      </c>
      <c r="M64">
        <v>0.6</v>
      </c>
      <c r="N64">
        <v>3.2</v>
      </c>
      <c r="O64">
        <v>0.9</v>
      </c>
      <c r="P64" t="s">
        <v>8</v>
      </c>
      <c r="Q64">
        <v>2.2999999999999998</v>
      </c>
      <c r="R64">
        <v>7.7</v>
      </c>
      <c r="S64">
        <v>1.9</v>
      </c>
      <c r="T64">
        <v>2</v>
      </c>
      <c r="U64">
        <v>4.9000000000000004</v>
      </c>
      <c r="V64">
        <v>5.9</v>
      </c>
      <c r="W64">
        <v>8.1999999999999993</v>
      </c>
      <c r="X64">
        <v>0</v>
      </c>
      <c r="Y64">
        <v>5.3</v>
      </c>
      <c r="Z64">
        <v>9</v>
      </c>
      <c r="AA64">
        <v>2.2999999999999998</v>
      </c>
      <c r="AB64">
        <v>1.9</v>
      </c>
      <c r="AC64">
        <v>4.3</v>
      </c>
    </row>
    <row r="65" spans="1:29" x14ac:dyDescent="0.25">
      <c r="A65">
        <v>62</v>
      </c>
      <c r="B65" t="s">
        <v>103</v>
      </c>
      <c r="C65" t="s">
        <v>76</v>
      </c>
      <c r="D65" s="6">
        <f t="shared" si="6"/>
        <v>2.2000000000000002</v>
      </c>
      <c r="E65">
        <v>3.4</v>
      </c>
      <c r="F65">
        <v>57.6</v>
      </c>
      <c r="G65" s="3">
        <f t="shared" si="7"/>
        <v>2</v>
      </c>
      <c r="H65" s="3">
        <f t="shared" si="8"/>
        <v>0</v>
      </c>
      <c r="I65" s="3">
        <f t="shared" si="9"/>
        <v>0</v>
      </c>
      <c r="J65" s="3">
        <f t="shared" si="10"/>
        <v>0</v>
      </c>
      <c r="K65" s="3">
        <f t="shared" si="11"/>
        <v>17</v>
      </c>
      <c r="L65">
        <v>6</v>
      </c>
      <c r="M65">
        <v>4.9000000000000004</v>
      </c>
      <c r="N65">
        <v>1.6</v>
      </c>
      <c r="O65">
        <v>2.2000000000000002</v>
      </c>
      <c r="P65">
        <v>0</v>
      </c>
      <c r="Q65">
        <v>10.6</v>
      </c>
      <c r="R65">
        <v>1.4</v>
      </c>
      <c r="S65">
        <v>1.7</v>
      </c>
      <c r="T65" t="s">
        <v>7</v>
      </c>
      <c r="U65">
        <v>0</v>
      </c>
      <c r="V65">
        <v>3.2</v>
      </c>
      <c r="W65">
        <v>2.4</v>
      </c>
      <c r="X65">
        <v>-2.1</v>
      </c>
      <c r="Y65">
        <v>1.3</v>
      </c>
      <c r="Z65">
        <v>0</v>
      </c>
      <c r="AA65">
        <v>3.6</v>
      </c>
      <c r="AB65">
        <v>7.9</v>
      </c>
      <c r="AC65">
        <v>12.9</v>
      </c>
    </row>
    <row r="66" spans="1:29" x14ac:dyDescent="0.25">
      <c r="A66">
        <v>63</v>
      </c>
      <c r="B66" t="s">
        <v>101</v>
      </c>
      <c r="C66" t="s">
        <v>90</v>
      </c>
      <c r="D66" s="6">
        <f t="shared" ref="D66:D73" si="12">MEDIAN(L66:AC66)</f>
        <v>2.2000000000000002</v>
      </c>
      <c r="E66">
        <v>3.8</v>
      </c>
      <c r="F66">
        <v>57.5</v>
      </c>
      <c r="G66" s="3">
        <f t="shared" ref="G66:G73" si="13">COUNTIFS(L66:AC66,"&gt;=10",L66:AC66,"&lt;=99")</f>
        <v>2</v>
      </c>
      <c r="H66" s="3">
        <f t="shared" ref="H66:H97" si="14">COUNTIFS(L66:AC66,"&gt;=15",L66:AC66,"&lt;=99")</f>
        <v>0</v>
      </c>
      <c r="I66" s="3">
        <f t="shared" ref="I66:I73" si="15">COUNTIFS(L66:AC66,"&gt;=20",L66:AC66,"&lt;=99")</f>
        <v>0</v>
      </c>
      <c r="J66" s="3">
        <f t="shared" ref="J66:J73" si="16">COUNTIFS(L66:AC66,"&gt;=30",L66:AC66,"&lt;=99")</f>
        <v>0</v>
      </c>
      <c r="K66" s="3">
        <f t="shared" ref="K66:K73" si="17">COUNT(L66:AC66)</f>
        <v>15</v>
      </c>
      <c r="L66">
        <v>12.9</v>
      </c>
      <c r="M66">
        <v>5.2</v>
      </c>
      <c r="N66">
        <v>2.2000000000000002</v>
      </c>
      <c r="O66">
        <v>3.4</v>
      </c>
      <c r="P66">
        <v>1.7</v>
      </c>
      <c r="Q66">
        <v>1.7</v>
      </c>
      <c r="R66" t="s">
        <v>8</v>
      </c>
      <c r="S66">
        <v>10.8</v>
      </c>
      <c r="T66" t="s">
        <v>8</v>
      </c>
      <c r="U66">
        <v>0.2</v>
      </c>
      <c r="V66">
        <v>5.4</v>
      </c>
      <c r="W66">
        <v>0.6</v>
      </c>
      <c r="X66">
        <v>0.4</v>
      </c>
      <c r="Y66">
        <v>1.6</v>
      </c>
      <c r="Z66">
        <v>5.0999999999999996</v>
      </c>
      <c r="AA66">
        <v>6.1</v>
      </c>
      <c r="AB66">
        <v>0.2</v>
      </c>
      <c r="AC66" t="s">
        <v>8</v>
      </c>
    </row>
    <row r="67" spans="1:29" x14ac:dyDescent="0.25">
      <c r="A67">
        <v>59</v>
      </c>
      <c r="B67" t="s">
        <v>99</v>
      </c>
      <c r="C67" t="s">
        <v>60</v>
      </c>
      <c r="D67" s="6">
        <f t="shared" si="12"/>
        <v>2</v>
      </c>
      <c r="E67">
        <v>3.8</v>
      </c>
      <c r="F67">
        <v>63.8</v>
      </c>
      <c r="G67" s="3">
        <f t="shared" si="13"/>
        <v>2</v>
      </c>
      <c r="H67" s="3">
        <f t="shared" si="14"/>
        <v>1</v>
      </c>
      <c r="I67" s="3">
        <f t="shared" si="15"/>
        <v>1</v>
      </c>
      <c r="J67" s="3">
        <f t="shared" si="16"/>
        <v>0</v>
      </c>
      <c r="K67" s="3">
        <f t="shared" si="17"/>
        <v>17</v>
      </c>
      <c r="L67">
        <v>0</v>
      </c>
      <c r="M67">
        <v>0</v>
      </c>
      <c r="N67">
        <v>0.1</v>
      </c>
      <c r="O67">
        <v>20.399999999999999</v>
      </c>
      <c r="P67">
        <v>10.4</v>
      </c>
      <c r="Q67">
        <v>0.9</v>
      </c>
      <c r="R67">
        <v>4.2</v>
      </c>
      <c r="S67">
        <v>-0.1</v>
      </c>
      <c r="T67">
        <v>2</v>
      </c>
      <c r="U67">
        <v>6.7</v>
      </c>
      <c r="V67">
        <v>1.6</v>
      </c>
      <c r="W67">
        <v>2.2000000000000002</v>
      </c>
      <c r="X67">
        <v>3.2</v>
      </c>
      <c r="Y67" t="s">
        <v>7</v>
      </c>
      <c r="Z67">
        <v>1.4</v>
      </c>
      <c r="AA67">
        <v>7.8</v>
      </c>
      <c r="AB67">
        <v>3</v>
      </c>
      <c r="AC67">
        <v>0</v>
      </c>
    </row>
    <row r="68" spans="1:29" x14ac:dyDescent="0.25">
      <c r="A68">
        <v>67</v>
      </c>
      <c r="B68" t="s">
        <v>107</v>
      </c>
      <c r="C68" t="s">
        <v>78</v>
      </c>
      <c r="D68" s="6">
        <f t="shared" si="12"/>
        <v>2</v>
      </c>
      <c r="E68">
        <v>3.2</v>
      </c>
      <c r="F68">
        <v>53.8</v>
      </c>
      <c r="G68" s="3">
        <f t="shared" si="13"/>
        <v>1</v>
      </c>
      <c r="H68" s="3">
        <f t="shared" si="14"/>
        <v>1</v>
      </c>
      <c r="I68" s="3">
        <f t="shared" si="15"/>
        <v>0</v>
      </c>
      <c r="J68" s="3">
        <f t="shared" si="16"/>
        <v>0</v>
      </c>
      <c r="K68" s="3">
        <f t="shared" si="17"/>
        <v>17</v>
      </c>
      <c r="L68">
        <v>0</v>
      </c>
      <c r="M68">
        <v>1.7</v>
      </c>
      <c r="N68">
        <v>7.6</v>
      </c>
      <c r="O68">
        <v>0.8</v>
      </c>
      <c r="P68">
        <v>18.3</v>
      </c>
      <c r="Q68">
        <v>2.9</v>
      </c>
      <c r="R68">
        <v>5.9</v>
      </c>
      <c r="S68">
        <v>2.4</v>
      </c>
      <c r="T68">
        <v>2.2999999999999998</v>
      </c>
      <c r="U68">
        <v>1.4</v>
      </c>
      <c r="V68">
        <v>1.3</v>
      </c>
      <c r="W68">
        <v>0</v>
      </c>
      <c r="X68">
        <v>0</v>
      </c>
      <c r="Y68" t="s">
        <v>8</v>
      </c>
      <c r="Z68">
        <v>3.2</v>
      </c>
      <c r="AA68">
        <v>2.5</v>
      </c>
      <c r="AB68">
        <v>2</v>
      </c>
      <c r="AC68">
        <v>1.5</v>
      </c>
    </row>
    <row r="69" spans="1:29" x14ac:dyDescent="0.25">
      <c r="A69">
        <v>48</v>
      </c>
      <c r="B69" t="s">
        <v>83</v>
      </c>
      <c r="C69" t="s">
        <v>76</v>
      </c>
      <c r="D69" s="6">
        <f t="shared" si="12"/>
        <v>1.7999999999999998</v>
      </c>
      <c r="E69">
        <v>5.9</v>
      </c>
      <c r="F69">
        <v>94.2</v>
      </c>
      <c r="G69" s="3">
        <f t="shared" si="13"/>
        <v>4</v>
      </c>
      <c r="H69" s="3">
        <f t="shared" si="14"/>
        <v>2</v>
      </c>
      <c r="I69" s="3">
        <f t="shared" si="15"/>
        <v>1</v>
      </c>
      <c r="J69" s="3">
        <f t="shared" si="16"/>
        <v>0</v>
      </c>
      <c r="K69" s="3">
        <f t="shared" si="17"/>
        <v>16</v>
      </c>
      <c r="L69">
        <v>0</v>
      </c>
      <c r="M69">
        <v>0</v>
      </c>
      <c r="N69">
        <v>1.9</v>
      </c>
      <c r="O69">
        <v>-2</v>
      </c>
      <c r="P69">
        <v>2.2000000000000002</v>
      </c>
      <c r="Q69">
        <v>9.9</v>
      </c>
      <c r="R69">
        <v>1.7</v>
      </c>
      <c r="S69">
        <v>19.2</v>
      </c>
      <c r="T69" t="s">
        <v>7</v>
      </c>
      <c r="U69">
        <v>0</v>
      </c>
      <c r="V69">
        <v>0</v>
      </c>
      <c r="W69">
        <v>0</v>
      </c>
      <c r="X69">
        <v>8.6</v>
      </c>
      <c r="Y69">
        <v>26.8</v>
      </c>
      <c r="Z69">
        <v>11.5</v>
      </c>
      <c r="AA69" t="s">
        <v>8</v>
      </c>
      <c r="AB69">
        <v>13.9</v>
      </c>
      <c r="AC69">
        <v>0.5</v>
      </c>
    </row>
    <row r="70" spans="1:29" x14ac:dyDescent="0.25">
      <c r="A70">
        <v>57</v>
      </c>
      <c r="B70" t="s">
        <v>94</v>
      </c>
      <c r="C70" t="s">
        <v>34</v>
      </c>
      <c r="D70" s="6">
        <f t="shared" si="12"/>
        <v>1.7</v>
      </c>
      <c r="E70">
        <v>4</v>
      </c>
      <c r="F70">
        <v>68.7</v>
      </c>
      <c r="G70" s="3">
        <f t="shared" si="13"/>
        <v>1</v>
      </c>
      <c r="H70" s="3">
        <f t="shared" si="14"/>
        <v>1</v>
      </c>
      <c r="I70" s="3">
        <f t="shared" si="15"/>
        <v>1</v>
      </c>
      <c r="J70" s="3">
        <f t="shared" si="16"/>
        <v>1</v>
      </c>
      <c r="K70" s="3">
        <f t="shared" si="17"/>
        <v>17</v>
      </c>
      <c r="L70">
        <v>0</v>
      </c>
      <c r="M70">
        <v>0</v>
      </c>
      <c r="N70">
        <v>0.4</v>
      </c>
      <c r="O70">
        <v>2.7</v>
      </c>
      <c r="P70">
        <v>0</v>
      </c>
      <c r="Q70">
        <v>34.200000000000003</v>
      </c>
      <c r="R70">
        <v>4.8</v>
      </c>
      <c r="S70">
        <v>2.5</v>
      </c>
      <c r="T70">
        <v>2.7</v>
      </c>
      <c r="U70">
        <v>0</v>
      </c>
      <c r="V70" t="s">
        <v>7</v>
      </c>
      <c r="W70">
        <v>8</v>
      </c>
      <c r="X70">
        <v>0</v>
      </c>
      <c r="Y70">
        <v>4.7</v>
      </c>
      <c r="Z70">
        <v>1.7</v>
      </c>
      <c r="AA70">
        <v>0</v>
      </c>
      <c r="AB70">
        <v>5.4</v>
      </c>
      <c r="AC70">
        <v>1.6</v>
      </c>
    </row>
    <row r="71" spans="1:29" x14ac:dyDescent="0.25">
      <c r="A71">
        <v>65</v>
      </c>
      <c r="B71" t="s">
        <v>105</v>
      </c>
      <c r="C71" t="s">
        <v>32</v>
      </c>
      <c r="D71" s="6">
        <f t="shared" si="12"/>
        <v>1.3</v>
      </c>
      <c r="E71">
        <v>3.3</v>
      </c>
      <c r="F71">
        <v>56</v>
      </c>
      <c r="G71" s="3">
        <f t="shared" si="13"/>
        <v>2</v>
      </c>
      <c r="H71" s="3">
        <f t="shared" si="14"/>
        <v>1</v>
      </c>
      <c r="I71" s="3">
        <f t="shared" si="15"/>
        <v>0</v>
      </c>
      <c r="J71" s="3">
        <f t="shared" si="16"/>
        <v>0</v>
      </c>
      <c r="K71" s="3">
        <f t="shared" si="17"/>
        <v>17</v>
      </c>
      <c r="L71">
        <v>1.3</v>
      </c>
      <c r="M71">
        <v>4.3</v>
      </c>
      <c r="N71">
        <v>4.8</v>
      </c>
      <c r="O71">
        <v>15.4</v>
      </c>
      <c r="P71">
        <v>14.7</v>
      </c>
      <c r="Q71">
        <v>0.8</v>
      </c>
      <c r="R71">
        <v>0.6</v>
      </c>
      <c r="S71">
        <v>0.4</v>
      </c>
      <c r="T71">
        <v>-0.1</v>
      </c>
      <c r="U71">
        <v>1.1000000000000001</v>
      </c>
      <c r="V71">
        <v>2.1</v>
      </c>
      <c r="W71">
        <v>0</v>
      </c>
      <c r="X71">
        <v>0</v>
      </c>
      <c r="Y71" t="s">
        <v>7</v>
      </c>
      <c r="Z71">
        <v>3.5</v>
      </c>
      <c r="AA71">
        <v>0</v>
      </c>
      <c r="AB71">
        <v>2.8</v>
      </c>
      <c r="AC71">
        <v>4.3</v>
      </c>
    </row>
    <row r="72" spans="1:29" x14ac:dyDescent="0.25">
      <c r="A72">
        <v>71</v>
      </c>
      <c r="B72" t="s">
        <v>110</v>
      </c>
      <c r="C72" t="s">
        <v>40</v>
      </c>
      <c r="D72" s="6">
        <f t="shared" si="12"/>
        <v>1.2</v>
      </c>
      <c r="E72">
        <v>3.3</v>
      </c>
      <c r="F72">
        <v>45.9</v>
      </c>
      <c r="G72" s="3">
        <f t="shared" si="13"/>
        <v>2</v>
      </c>
      <c r="H72" s="3">
        <f t="shared" si="14"/>
        <v>1</v>
      </c>
      <c r="I72" s="3">
        <f t="shared" si="15"/>
        <v>0</v>
      </c>
      <c r="J72" s="3">
        <f t="shared" si="16"/>
        <v>0</v>
      </c>
      <c r="K72" s="3">
        <f t="shared" si="17"/>
        <v>14</v>
      </c>
      <c r="L72" t="s">
        <v>8</v>
      </c>
      <c r="M72" t="s">
        <v>8</v>
      </c>
      <c r="N72">
        <v>0.6</v>
      </c>
      <c r="O72" t="s">
        <v>8</v>
      </c>
      <c r="P72">
        <v>0</v>
      </c>
      <c r="Q72">
        <v>0</v>
      </c>
      <c r="R72">
        <v>1.2</v>
      </c>
      <c r="S72">
        <v>0</v>
      </c>
      <c r="T72">
        <v>0</v>
      </c>
      <c r="U72">
        <v>2</v>
      </c>
      <c r="V72">
        <v>0</v>
      </c>
      <c r="W72" t="s">
        <v>7</v>
      </c>
      <c r="X72">
        <v>12.2</v>
      </c>
      <c r="Y72">
        <v>15.7</v>
      </c>
      <c r="Z72">
        <v>3.6</v>
      </c>
      <c r="AA72">
        <v>1.2</v>
      </c>
      <c r="AB72">
        <v>5.3</v>
      </c>
      <c r="AC72">
        <v>4.0999999999999996</v>
      </c>
    </row>
    <row r="73" spans="1:29" x14ac:dyDescent="0.25">
      <c r="A73">
        <v>72</v>
      </c>
      <c r="B73" t="s">
        <v>498</v>
      </c>
      <c r="C73" t="s">
        <v>24</v>
      </c>
      <c r="D73" s="6">
        <f t="shared" si="12"/>
        <v>0.15</v>
      </c>
      <c r="E73">
        <v>2.8</v>
      </c>
      <c r="F73">
        <v>44.4</v>
      </c>
      <c r="G73" s="3">
        <f t="shared" si="13"/>
        <v>2</v>
      </c>
      <c r="H73" s="3">
        <f t="shared" si="14"/>
        <v>0</v>
      </c>
      <c r="I73" s="3">
        <f t="shared" si="15"/>
        <v>0</v>
      </c>
      <c r="J73" s="3">
        <f t="shared" si="16"/>
        <v>0</v>
      </c>
      <c r="K73" s="3">
        <f t="shared" si="17"/>
        <v>16</v>
      </c>
      <c r="L73" t="s">
        <v>8</v>
      </c>
      <c r="M73">
        <v>1.2</v>
      </c>
      <c r="N73">
        <v>0</v>
      </c>
      <c r="O73">
        <v>0</v>
      </c>
      <c r="P73">
        <v>8.6999999999999993</v>
      </c>
      <c r="Q73">
        <v>10.5</v>
      </c>
      <c r="R73">
        <v>11.1</v>
      </c>
      <c r="S73">
        <v>0</v>
      </c>
      <c r="T73">
        <v>0</v>
      </c>
      <c r="U73">
        <v>8.9</v>
      </c>
      <c r="V73">
        <v>0</v>
      </c>
      <c r="W73">
        <v>0</v>
      </c>
      <c r="X73">
        <v>0</v>
      </c>
      <c r="Y73" t="s">
        <v>7</v>
      </c>
      <c r="Z73">
        <v>0.3</v>
      </c>
      <c r="AA73">
        <v>2.2000000000000002</v>
      </c>
      <c r="AB73">
        <v>0</v>
      </c>
      <c r="AC73">
        <v>1.5</v>
      </c>
    </row>
    <row r="74" spans="1:29" x14ac:dyDescent="0.25">
      <c r="A74">
        <v>73</v>
      </c>
      <c r="B74" t="s">
        <v>109</v>
      </c>
      <c r="C74" t="s">
        <v>32</v>
      </c>
      <c r="E74">
        <v>4</v>
      </c>
      <c r="F74">
        <v>43.5</v>
      </c>
      <c r="H74" s="3">
        <f t="shared" si="14"/>
        <v>1</v>
      </c>
      <c r="L74">
        <v>1.6</v>
      </c>
      <c r="M74" t="s">
        <v>8</v>
      </c>
      <c r="N74" t="s">
        <v>8</v>
      </c>
      <c r="O74" t="s">
        <v>8</v>
      </c>
      <c r="P74" t="s">
        <v>8</v>
      </c>
      <c r="Q74">
        <v>14.7</v>
      </c>
      <c r="R74">
        <v>0.2</v>
      </c>
      <c r="S74">
        <v>0.4</v>
      </c>
      <c r="T74" t="s">
        <v>8</v>
      </c>
      <c r="U74" t="s">
        <v>8</v>
      </c>
      <c r="V74">
        <v>0.2</v>
      </c>
      <c r="W74">
        <v>0</v>
      </c>
      <c r="X74">
        <v>1.1000000000000001</v>
      </c>
      <c r="Y74" t="s">
        <v>7</v>
      </c>
      <c r="Z74">
        <v>0</v>
      </c>
      <c r="AA74">
        <v>0.4</v>
      </c>
      <c r="AB74">
        <v>1.3</v>
      </c>
      <c r="AC74">
        <v>23.6</v>
      </c>
    </row>
    <row r="75" spans="1:29" x14ac:dyDescent="0.25">
      <c r="A75">
        <v>74</v>
      </c>
      <c r="B75" t="s">
        <v>509</v>
      </c>
      <c r="C75" t="s">
        <v>16</v>
      </c>
      <c r="E75">
        <v>3.2</v>
      </c>
      <c r="F75">
        <v>42.2</v>
      </c>
      <c r="H75" s="3">
        <f t="shared" si="14"/>
        <v>0</v>
      </c>
      <c r="L75" t="s">
        <v>8</v>
      </c>
      <c r="M75" t="s">
        <v>8</v>
      </c>
      <c r="N75">
        <v>0.3</v>
      </c>
      <c r="O75" t="s">
        <v>8</v>
      </c>
      <c r="P75" t="s">
        <v>8</v>
      </c>
      <c r="Q75">
        <v>2.1</v>
      </c>
      <c r="R75">
        <v>0</v>
      </c>
      <c r="S75">
        <v>2.7</v>
      </c>
      <c r="T75">
        <v>7.1</v>
      </c>
      <c r="U75" t="s">
        <v>7</v>
      </c>
      <c r="V75">
        <v>3.3</v>
      </c>
      <c r="W75">
        <v>3.6</v>
      </c>
      <c r="X75">
        <v>4.9000000000000004</v>
      </c>
      <c r="Y75">
        <v>0.3</v>
      </c>
      <c r="Z75">
        <v>2.5</v>
      </c>
      <c r="AA75">
        <v>9.5</v>
      </c>
      <c r="AB75">
        <v>0</v>
      </c>
      <c r="AC75">
        <v>5.9</v>
      </c>
    </row>
    <row r="76" spans="1:29" x14ac:dyDescent="0.25">
      <c r="A76">
        <v>75</v>
      </c>
      <c r="B76" t="s">
        <v>486</v>
      </c>
      <c r="C76" t="s">
        <v>90</v>
      </c>
      <c r="E76">
        <v>2.9</v>
      </c>
      <c r="F76">
        <v>37.5</v>
      </c>
      <c r="H76" s="3">
        <f t="shared" si="14"/>
        <v>0</v>
      </c>
      <c r="L76">
        <v>1.3</v>
      </c>
      <c r="M76">
        <v>0.3</v>
      </c>
      <c r="N76">
        <v>7.8</v>
      </c>
      <c r="O76">
        <v>8.1999999999999993</v>
      </c>
      <c r="P76" t="s">
        <v>8</v>
      </c>
      <c r="Q76" t="s">
        <v>8</v>
      </c>
      <c r="R76" t="s">
        <v>8</v>
      </c>
      <c r="S76" t="s">
        <v>8</v>
      </c>
      <c r="T76" t="s">
        <v>8</v>
      </c>
      <c r="U76">
        <v>1.4</v>
      </c>
      <c r="V76">
        <v>1</v>
      </c>
      <c r="W76">
        <v>-0.2</v>
      </c>
      <c r="X76">
        <v>8.3000000000000007</v>
      </c>
      <c r="Y76">
        <v>-0.9</v>
      </c>
      <c r="Z76">
        <v>1.8</v>
      </c>
      <c r="AA76">
        <v>8.1999999999999993</v>
      </c>
      <c r="AB76">
        <v>0.2</v>
      </c>
      <c r="AC76">
        <v>0.1</v>
      </c>
    </row>
    <row r="77" spans="1:29" x14ac:dyDescent="0.25">
      <c r="A77">
        <v>76</v>
      </c>
      <c r="B77" t="s">
        <v>473</v>
      </c>
      <c r="C77" t="s">
        <v>90</v>
      </c>
      <c r="E77">
        <v>2.7</v>
      </c>
      <c r="F77">
        <v>37.1</v>
      </c>
      <c r="H77" s="3">
        <f t="shared" si="14"/>
        <v>0</v>
      </c>
      <c r="L77">
        <v>12.1</v>
      </c>
      <c r="M77">
        <v>3.9</v>
      </c>
      <c r="N77">
        <v>0.9</v>
      </c>
      <c r="O77">
        <v>3.9</v>
      </c>
      <c r="P77">
        <v>0.9</v>
      </c>
      <c r="Q77">
        <v>0.7</v>
      </c>
      <c r="R77">
        <v>1.7</v>
      </c>
      <c r="S77">
        <v>0.4</v>
      </c>
      <c r="T77" t="s">
        <v>8</v>
      </c>
      <c r="U77" t="s">
        <v>8</v>
      </c>
      <c r="V77" t="s">
        <v>8</v>
      </c>
      <c r="W77" t="s">
        <v>8</v>
      </c>
      <c r="X77">
        <v>1.7</v>
      </c>
      <c r="Y77">
        <v>3.5</v>
      </c>
      <c r="Z77">
        <v>0</v>
      </c>
      <c r="AA77">
        <v>0.8</v>
      </c>
      <c r="AB77">
        <v>3.4</v>
      </c>
      <c r="AC77">
        <v>3.2</v>
      </c>
    </row>
    <row r="78" spans="1:29" x14ac:dyDescent="0.25">
      <c r="A78">
        <v>77</v>
      </c>
      <c r="B78" t="s">
        <v>487</v>
      </c>
      <c r="C78" t="s">
        <v>12</v>
      </c>
      <c r="E78">
        <v>2.8</v>
      </c>
      <c r="F78">
        <v>35.9</v>
      </c>
      <c r="H78" s="3">
        <f t="shared" si="14"/>
        <v>0</v>
      </c>
      <c r="L78" t="s">
        <v>8</v>
      </c>
      <c r="M78">
        <v>2.6</v>
      </c>
      <c r="N78">
        <v>1.2</v>
      </c>
      <c r="O78">
        <v>0</v>
      </c>
      <c r="P78">
        <v>3</v>
      </c>
      <c r="Q78">
        <v>6.4</v>
      </c>
      <c r="R78">
        <v>10</v>
      </c>
      <c r="S78">
        <v>3.3</v>
      </c>
      <c r="T78">
        <v>0.6</v>
      </c>
      <c r="U78">
        <v>0</v>
      </c>
      <c r="V78">
        <v>0.3</v>
      </c>
      <c r="W78" t="s">
        <v>8</v>
      </c>
      <c r="X78" t="s">
        <v>8</v>
      </c>
      <c r="Y78" t="s">
        <v>7</v>
      </c>
      <c r="Z78" t="s">
        <v>8</v>
      </c>
      <c r="AA78">
        <v>1.8</v>
      </c>
      <c r="AB78">
        <v>3.1</v>
      </c>
      <c r="AC78">
        <v>3.6</v>
      </c>
    </row>
    <row r="79" spans="1:29" x14ac:dyDescent="0.25">
      <c r="A79">
        <v>78</v>
      </c>
      <c r="B79" t="s">
        <v>474</v>
      </c>
      <c r="C79" t="s">
        <v>28</v>
      </c>
      <c r="E79">
        <v>9</v>
      </c>
      <c r="F79">
        <v>35.799999999999997</v>
      </c>
      <c r="H79" s="3">
        <f t="shared" si="14"/>
        <v>1</v>
      </c>
      <c r="L79" t="s">
        <v>8</v>
      </c>
      <c r="M79" t="s">
        <v>8</v>
      </c>
      <c r="N79" t="s">
        <v>8</v>
      </c>
      <c r="O79" t="s">
        <v>8</v>
      </c>
      <c r="P79" t="s">
        <v>8</v>
      </c>
      <c r="Q79" t="s">
        <v>8</v>
      </c>
      <c r="R79" t="s">
        <v>8</v>
      </c>
      <c r="S79" t="s">
        <v>8</v>
      </c>
      <c r="T79" t="s">
        <v>8</v>
      </c>
      <c r="U79" t="s">
        <v>8</v>
      </c>
      <c r="V79" t="s">
        <v>7</v>
      </c>
      <c r="W79" t="s">
        <v>8</v>
      </c>
      <c r="X79" t="s">
        <v>8</v>
      </c>
      <c r="Y79">
        <v>0</v>
      </c>
      <c r="Z79" t="s">
        <v>8</v>
      </c>
      <c r="AA79">
        <v>9.8000000000000007</v>
      </c>
      <c r="AB79">
        <v>10.1</v>
      </c>
      <c r="AC79">
        <v>15.9</v>
      </c>
    </row>
    <row r="80" spans="1:29" x14ac:dyDescent="0.25">
      <c r="A80">
        <v>79</v>
      </c>
      <c r="B80" t="s">
        <v>477</v>
      </c>
      <c r="C80" t="s">
        <v>69</v>
      </c>
      <c r="E80">
        <v>2.7</v>
      </c>
      <c r="F80">
        <v>35.200000000000003</v>
      </c>
      <c r="H80" s="3">
        <f t="shared" si="14"/>
        <v>0</v>
      </c>
      <c r="L80">
        <v>5</v>
      </c>
      <c r="M80">
        <v>1.5</v>
      </c>
      <c r="N80" t="s">
        <v>8</v>
      </c>
      <c r="O80" t="s">
        <v>8</v>
      </c>
      <c r="P80">
        <v>0.2</v>
      </c>
      <c r="Q80">
        <v>9.8000000000000007</v>
      </c>
      <c r="R80">
        <v>2.5</v>
      </c>
      <c r="S80">
        <v>1.3</v>
      </c>
      <c r="T80">
        <v>0.8</v>
      </c>
      <c r="U80" t="s">
        <v>7</v>
      </c>
      <c r="V80">
        <v>0.5</v>
      </c>
      <c r="W80" t="s">
        <v>8</v>
      </c>
      <c r="X80">
        <v>0</v>
      </c>
      <c r="Y80">
        <v>2.9</v>
      </c>
      <c r="Z80">
        <v>0</v>
      </c>
      <c r="AA80">
        <v>2.9</v>
      </c>
      <c r="AB80">
        <v>7.8</v>
      </c>
      <c r="AC80" t="s">
        <v>8</v>
      </c>
    </row>
    <row r="81" spans="1:29" x14ac:dyDescent="0.25">
      <c r="A81">
        <v>80</v>
      </c>
      <c r="B81" t="s">
        <v>639</v>
      </c>
      <c r="C81" t="s">
        <v>20</v>
      </c>
      <c r="E81">
        <v>2.2000000000000002</v>
      </c>
      <c r="F81">
        <v>33.5</v>
      </c>
      <c r="H81" s="3">
        <f t="shared" si="14"/>
        <v>0</v>
      </c>
      <c r="L81">
        <v>0</v>
      </c>
      <c r="M81">
        <v>2.8</v>
      </c>
      <c r="N81" t="s">
        <v>8</v>
      </c>
      <c r="O81" t="s">
        <v>8</v>
      </c>
      <c r="P81">
        <v>4.3</v>
      </c>
      <c r="Q81" t="s">
        <v>7</v>
      </c>
      <c r="R81">
        <v>1.1000000000000001</v>
      </c>
      <c r="S81">
        <v>2.8</v>
      </c>
      <c r="T81">
        <v>-0.1</v>
      </c>
      <c r="U81">
        <v>2.5</v>
      </c>
      <c r="V81">
        <v>3.8</v>
      </c>
      <c r="W81">
        <v>0.5</v>
      </c>
      <c r="X81">
        <v>4.2</v>
      </c>
      <c r="Y81">
        <v>3.4</v>
      </c>
      <c r="Z81">
        <v>4</v>
      </c>
      <c r="AA81">
        <v>1.4</v>
      </c>
      <c r="AB81">
        <v>-0.4</v>
      </c>
      <c r="AC81">
        <v>3.2</v>
      </c>
    </row>
    <row r="82" spans="1:29" x14ac:dyDescent="0.25">
      <c r="A82">
        <v>81</v>
      </c>
      <c r="B82" t="s">
        <v>640</v>
      </c>
      <c r="C82" t="s">
        <v>45</v>
      </c>
      <c r="E82">
        <v>2.2000000000000002</v>
      </c>
      <c r="F82">
        <v>32.799999999999997</v>
      </c>
      <c r="H82" s="3">
        <f t="shared" si="14"/>
        <v>0</v>
      </c>
      <c r="L82" t="s">
        <v>8</v>
      </c>
      <c r="M82">
        <v>1.1000000000000001</v>
      </c>
      <c r="N82" t="s">
        <v>8</v>
      </c>
      <c r="O82">
        <v>0</v>
      </c>
      <c r="P82" t="s">
        <v>7</v>
      </c>
      <c r="Q82">
        <v>0.5</v>
      </c>
      <c r="R82">
        <v>0.2</v>
      </c>
      <c r="S82">
        <v>0</v>
      </c>
      <c r="T82">
        <v>0</v>
      </c>
      <c r="U82">
        <v>6.4</v>
      </c>
      <c r="V82">
        <v>0.1</v>
      </c>
      <c r="W82">
        <v>0.3</v>
      </c>
      <c r="X82">
        <v>-2</v>
      </c>
      <c r="Y82">
        <v>0</v>
      </c>
      <c r="Z82">
        <v>0</v>
      </c>
      <c r="AA82">
        <v>11.9</v>
      </c>
      <c r="AB82">
        <v>5</v>
      </c>
      <c r="AC82">
        <v>9.3000000000000007</v>
      </c>
    </row>
    <row r="83" spans="1:29" x14ac:dyDescent="0.25">
      <c r="A83">
        <v>82</v>
      </c>
      <c r="B83" t="s">
        <v>641</v>
      </c>
      <c r="C83" t="s">
        <v>45</v>
      </c>
      <c r="E83">
        <v>3.3</v>
      </c>
      <c r="F83">
        <v>32.700000000000003</v>
      </c>
      <c r="H83" s="3">
        <f t="shared" si="14"/>
        <v>0</v>
      </c>
      <c r="L83" t="s">
        <v>8</v>
      </c>
      <c r="M83" t="s">
        <v>8</v>
      </c>
      <c r="N83" t="s">
        <v>8</v>
      </c>
      <c r="O83" t="s">
        <v>8</v>
      </c>
      <c r="P83" t="s">
        <v>7</v>
      </c>
      <c r="Q83">
        <v>13.1</v>
      </c>
      <c r="R83">
        <v>2.9</v>
      </c>
      <c r="S83">
        <v>1.6</v>
      </c>
      <c r="T83">
        <v>0.7</v>
      </c>
      <c r="U83" t="s">
        <v>8</v>
      </c>
      <c r="V83" t="s">
        <v>8</v>
      </c>
      <c r="W83" t="s">
        <v>8</v>
      </c>
      <c r="X83">
        <v>2</v>
      </c>
      <c r="Y83">
        <v>3.4</v>
      </c>
      <c r="Z83">
        <v>4.2</v>
      </c>
      <c r="AA83">
        <v>2.4</v>
      </c>
      <c r="AB83">
        <v>2.4</v>
      </c>
      <c r="AC83">
        <v>0</v>
      </c>
    </row>
    <row r="84" spans="1:29" x14ac:dyDescent="0.25">
      <c r="A84">
        <v>83</v>
      </c>
      <c r="B84" t="s">
        <v>466</v>
      </c>
      <c r="C84" t="s">
        <v>90</v>
      </c>
      <c r="E84">
        <v>3</v>
      </c>
      <c r="F84">
        <v>32.6</v>
      </c>
      <c r="H84" s="3">
        <f t="shared" si="14"/>
        <v>0</v>
      </c>
      <c r="L84">
        <v>0</v>
      </c>
      <c r="M84">
        <v>6.1</v>
      </c>
      <c r="N84">
        <v>0.5</v>
      </c>
      <c r="O84">
        <v>1.7</v>
      </c>
      <c r="P84">
        <v>7</v>
      </c>
      <c r="Q84">
        <v>6.7</v>
      </c>
      <c r="R84">
        <v>0.5</v>
      </c>
      <c r="S84">
        <v>2.6</v>
      </c>
      <c r="T84" t="s">
        <v>8</v>
      </c>
      <c r="U84" t="s">
        <v>8</v>
      </c>
      <c r="V84" t="s">
        <v>8</v>
      </c>
      <c r="W84" t="s">
        <v>8</v>
      </c>
      <c r="X84" t="s">
        <v>8</v>
      </c>
      <c r="Y84" t="s">
        <v>8</v>
      </c>
      <c r="Z84" t="s">
        <v>8</v>
      </c>
      <c r="AA84">
        <v>-1.9</v>
      </c>
      <c r="AB84">
        <v>4.9000000000000004</v>
      </c>
      <c r="AC84">
        <v>4.5</v>
      </c>
    </row>
    <row r="85" spans="1:29" x14ac:dyDescent="0.25">
      <c r="A85">
        <v>84</v>
      </c>
      <c r="B85" t="s">
        <v>481</v>
      </c>
      <c r="C85" t="s">
        <v>60</v>
      </c>
      <c r="E85">
        <v>3.9</v>
      </c>
      <c r="F85">
        <v>31.5</v>
      </c>
      <c r="H85" s="3">
        <f t="shared" si="14"/>
        <v>1</v>
      </c>
      <c r="L85">
        <v>0</v>
      </c>
      <c r="M85" t="s">
        <v>8</v>
      </c>
      <c r="N85" t="s">
        <v>8</v>
      </c>
      <c r="O85" t="s">
        <v>8</v>
      </c>
      <c r="P85" t="s">
        <v>8</v>
      </c>
      <c r="Q85" t="s">
        <v>8</v>
      </c>
      <c r="R85" t="s">
        <v>8</v>
      </c>
      <c r="S85" t="s">
        <v>8</v>
      </c>
      <c r="T85">
        <v>5.2</v>
      </c>
      <c r="U85">
        <v>0.4</v>
      </c>
      <c r="V85" t="s">
        <v>8</v>
      </c>
      <c r="W85" t="s">
        <v>8</v>
      </c>
      <c r="X85">
        <v>15.4</v>
      </c>
      <c r="Y85" t="s">
        <v>7</v>
      </c>
      <c r="Z85">
        <v>0.2</v>
      </c>
      <c r="AA85">
        <v>0.5</v>
      </c>
      <c r="AB85">
        <v>9.8000000000000007</v>
      </c>
      <c r="AC85">
        <v>0</v>
      </c>
    </row>
    <row r="86" spans="1:29" x14ac:dyDescent="0.25">
      <c r="A86">
        <v>84</v>
      </c>
      <c r="B86" t="s">
        <v>464</v>
      </c>
      <c r="C86" t="s">
        <v>24</v>
      </c>
      <c r="E86">
        <v>2.4</v>
      </c>
      <c r="F86">
        <v>31.5</v>
      </c>
      <c r="H86" s="3">
        <f t="shared" si="14"/>
        <v>1</v>
      </c>
      <c r="L86">
        <v>0.4</v>
      </c>
      <c r="M86">
        <v>8.6999999999999993</v>
      </c>
      <c r="N86">
        <v>0.9</v>
      </c>
      <c r="O86" t="s">
        <v>8</v>
      </c>
      <c r="P86">
        <v>0</v>
      </c>
      <c r="Q86">
        <v>0</v>
      </c>
      <c r="R86" t="s">
        <v>8</v>
      </c>
      <c r="S86" t="s">
        <v>8</v>
      </c>
      <c r="T86" t="s">
        <v>8</v>
      </c>
      <c r="U86">
        <v>0</v>
      </c>
      <c r="V86">
        <v>0</v>
      </c>
      <c r="W86" t="s">
        <v>8</v>
      </c>
      <c r="X86">
        <v>1.4</v>
      </c>
      <c r="Y86">
        <v>2.1</v>
      </c>
      <c r="Z86">
        <v>0.4</v>
      </c>
      <c r="AA86">
        <v>0</v>
      </c>
      <c r="AB86">
        <v>2.2999999999999998</v>
      </c>
      <c r="AC86">
        <v>15.3</v>
      </c>
    </row>
    <row r="87" spans="1:29" x14ac:dyDescent="0.25">
      <c r="A87">
        <v>86</v>
      </c>
      <c r="B87" t="s">
        <v>491</v>
      </c>
      <c r="C87" t="s">
        <v>76</v>
      </c>
      <c r="E87">
        <v>3.3</v>
      </c>
      <c r="F87">
        <v>29.8</v>
      </c>
      <c r="H87" s="3">
        <f t="shared" si="14"/>
        <v>0</v>
      </c>
      <c r="L87" t="s">
        <v>8</v>
      </c>
      <c r="M87" t="s">
        <v>8</v>
      </c>
      <c r="N87" t="s">
        <v>8</v>
      </c>
      <c r="O87">
        <v>0</v>
      </c>
      <c r="P87">
        <v>0</v>
      </c>
      <c r="Q87">
        <v>3.8</v>
      </c>
      <c r="R87" t="s">
        <v>8</v>
      </c>
      <c r="S87">
        <v>0.9</v>
      </c>
      <c r="T87" t="s">
        <v>7</v>
      </c>
      <c r="U87" t="s">
        <v>8</v>
      </c>
      <c r="V87" t="s">
        <v>8</v>
      </c>
      <c r="W87" t="s">
        <v>8</v>
      </c>
      <c r="X87" t="s">
        <v>8</v>
      </c>
      <c r="Y87">
        <v>8.5</v>
      </c>
      <c r="Z87">
        <v>0</v>
      </c>
      <c r="AA87">
        <v>3.5</v>
      </c>
      <c r="AB87">
        <v>0</v>
      </c>
      <c r="AC87">
        <v>13.1</v>
      </c>
    </row>
    <row r="88" spans="1:29" x14ac:dyDescent="0.25">
      <c r="A88">
        <v>87</v>
      </c>
      <c r="B88" t="s">
        <v>518</v>
      </c>
      <c r="C88" t="s">
        <v>50</v>
      </c>
      <c r="E88">
        <v>1.7</v>
      </c>
      <c r="F88">
        <v>29.3</v>
      </c>
      <c r="H88" s="3">
        <f t="shared" si="14"/>
        <v>0</v>
      </c>
      <c r="L88">
        <v>1.3</v>
      </c>
      <c r="M88">
        <v>1.1000000000000001</v>
      </c>
      <c r="N88">
        <v>0</v>
      </c>
      <c r="O88">
        <v>1.3</v>
      </c>
      <c r="P88">
        <v>1.5</v>
      </c>
      <c r="Q88">
        <v>0</v>
      </c>
      <c r="R88">
        <v>0</v>
      </c>
      <c r="S88">
        <v>3.8</v>
      </c>
      <c r="T88">
        <v>-0.1</v>
      </c>
      <c r="U88">
        <v>0</v>
      </c>
      <c r="V88">
        <v>1</v>
      </c>
      <c r="W88">
        <v>2.1</v>
      </c>
      <c r="X88">
        <v>6.1</v>
      </c>
      <c r="Y88" t="s">
        <v>7</v>
      </c>
      <c r="Z88">
        <v>0</v>
      </c>
      <c r="AA88">
        <v>10.9</v>
      </c>
      <c r="AB88">
        <v>0</v>
      </c>
      <c r="AC88">
        <v>0.3</v>
      </c>
    </row>
    <row r="89" spans="1:29" x14ac:dyDescent="0.25">
      <c r="A89">
        <v>88</v>
      </c>
      <c r="B89" t="s">
        <v>469</v>
      </c>
      <c r="C89" t="s">
        <v>97</v>
      </c>
      <c r="E89">
        <v>3.7</v>
      </c>
      <c r="F89">
        <v>29.3</v>
      </c>
      <c r="H89" s="3">
        <f t="shared" si="14"/>
        <v>0</v>
      </c>
      <c r="L89">
        <v>4.5999999999999996</v>
      </c>
      <c r="M89">
        <v>6.8</v>
      </c>
      <c r="N89">
        <v>3.4</v>
      </c>
      <c r="O89">
        <v>3</v>
      </c>
      <c r="P89" t="s">
        <v>8</v>
      </c>
      <c r="Q89" t="s">
        <v>8</v>
      </c>
      <c r="R89">
        <v>3.7</v>
      </c>
      <c r="S89">
        <v>-0.1</v>
      </c>
      <c r="T89">
        <v>7</v>
      </c>
      <c r="U89" t="s">
        <v>7</v>
      </c>
      <c r="V89">
        <v>0.9</v>
      </c>
      <c r="W89" t="s">
        <v>8</v>
      </c>
      <c r="X89" t="s">
        <v>8</v>
      </c>
      <c r="Y89" t="s">
        <v>8</v>
      </c>
      <c r="Z89" t="s">
        <v>8</v>
      </c>
      <c r="AA89" t="s">
        <v>8</v>
      </c>
      <c r="AB89" t="s">
        <v>8</v>
      </c>
      <c r="AC89" t="s">
        <v>8</v>
      </c>
    </row>
    <row r="90" spans="1:29" x14ac:dyDescent="0.25">
      <c r="A90">
        <v>89</v>
      </c>
      <c r="B90" t="s">
        <v>480</v>
      </c>
      <c r="C90" t="s">
        <v>26</v>
      </c>
      <c r="E90">
        <v>4.2</v>
      </c>
      <c r="F90">
        <v>29.1</v>
      </c>
      <c r="H90" s="3">
        <f t="shared" si="14"/>
        <v>0</v>
      </c>
      <c r="L90">
        <v>0</v>
      </c>
      <c r="M90" t="s">
        <v>8</v>
      </c>
      <c r="N90" t="s">
        <v>8</v>
      </c>
      <c r="O90" t="s">
        <v>8</v>
      </c>
      <c r="P90" t="s">
        <v>8</v>
      </c>
      <c r="Q90" t="s">
        <v>8</v>
      </c>
      <c r="R90">
        <v>5.7</v>
      </c>
      <c r="S90">
        <v>1.6</v>
      </c>
      <c r="T90" t="s">
        <v>8</v>
      </c>
      <c r="U90" t="s">
        <v>8</v>
      </c>
      <c r="V90" t="s">
        <v>8</v>
      </c>
      <c r="W90" t="s">
        <v>7</v>
      </c>
      <c r="X90" t="s">
        <v>8</v>
      </c>
      <c r="Y90">
        <v>9.1999999999999993</v>
      </c>
      <c r="Z90">
        <v>4.5999999999999996</v>
      </c>
      <c r="AA90">
        <v>5.0999999999999996</v>
      </c>
      <c r="AB90">
        <v>2.9</v>
      </c>
      <c r="AC90" t="s">
        <v>8</v>
      </c>
    </row>
    <row r="91" spans="1:29" x14ac:dyDescent="0.25">
      <c r="A91">
        <v>90</v>
      </c>
      <c r="B91" t="s">
        <v>559</v>
      </c>
      <c r="C91" t="s">
        <v>90</v>
      </c>
      <c r="E91">
        <v>2.1</v>
      </c>
      <c r="F91">
        <v>28.8</v>
      </c>
      <c r="H91" s="3">
        <f t="shared" si="14"/>
        <v>1</v>
      </c>
      <c r="L91">
        <v>0</v>
      </c>
      <c r="M91">
        <v>0.2</v>
      </c>
      <c r="N91">
        <v>0.5</v>
      </c>
      <c r="O91">
        <v>1.5</v>
      </c>
      <c r="P91">
        <v>0</v>
      </c>
      <c r="Q91">
        <v>3.1</v>
      </c>
      <c r="R91">
        <v>15.7</v>
      </c>
      <c r="S91" t="s">
        <v>8</v>
      </c>
      <c r="T91">
        <v>0.7</v>
      </c>
      <c r="U91">
        <v>3.4</v>
      </c>
      <c r="V91">
        <v>0.2</v>
      </c>
      <c r="W91">
        <v>3.5</v>
      </c>
      <c r="X91">
        <v>0</v>
      </c>
      <c r="Y91" t="s">
        <v>8</v>
      </c>
      <c r="Z91">
        <v>0</v>
      </c>
      <c r="AA91" t="s">
        <v>8</v>
      </c>
      <c r="AB91">
        <v>0</v>
      </c>
      <c r="AC91" t="s">
        <v>8</v>
      </c>
    </row>
    <row r="92" spans="1:29" x14ac:dyDescent="0.25">
      <c r="A92">
        <v>91</v>
      </c>
      <c r="B92" t="s">
        <v>465</v>
      </c>
      <c r="C92" t="s">
        <v>38</v>
      </c>
      <c r="E92">
        <v>1.9</v>
      </c>
      <c r="F92">
        <v>28.4</v>
      </c>
      <c r="H92" s="3">
        <f t="shared" si="14"/>
        <v>0</v>
      </c>
      <c r="L92">
        <v>7.2</v>
      </c>
      <c r="M92">
        <v>8.1999999999999993</v>
      </c>
      <c r="N92">
        <v>1.3</v>
      </c>
      <c r="O92">
        <v>2.2999999999999998</v>
      </c>
      <c r="P92">
        <v>5.9</v>
      </c>
      <c r="Q92" t="s">
        <v>7</v>
      </c>
      <c r="R92">
        <v>0.4</v>
      </c>
      <c r="S92">
        <v>0</v>
      </c>
      <c r="T92" t="s">
        <v>8</v>
      </c>
      <c r="U92">
        <v>1.8</v>
      </c>
      <c r="V92">
        <v>0</v>
      </c>
      <c r="W92">
        <v>0</v>
      </c>
      <c r="X92">
        <v>0.2</v>
      </c>
      <c r="Y92">
        <v>0</v>
      </c>
      <c r="Z92">
        <v>0.4</v>
      </c>
      <c r="AA92">
        <v>0</v>
      </c>
      <c r="AB92">
        <v>0.7</v>
      </c>
      <c r="AC92" t="s">
        <v>8</v>
      </c>
    </row>
    <row r="93" spans="1:29" x14ac:dyDescent="0.25">
      <c r="A93">
        <v>92</v>
      </c>
      <c r="B93" t="s">
        <v>642</v>
      </c>
      <c r="C93" t="s">
        <v>97</v>
      </c>
      <c r="E93">
        <v>6.8</v>
      </c>
      <c r="F93">
        <v>27.2</v>
      </c>
      <c r="H93" s="3">
        <f t="shared" si="14"/>
        <v>0</v>
      </c>
      <c r="L93" t="s">
        <v>8</v>
      </c>
      <c r="M93" t="s">
        <v>8</v>
      </c>
      <c r="N93" t="s">
        <v>8</v>
      </c>
      <c r="O93" t="s">
        <v>8</v>
      </c>
      <c r="P93" t="s">
        <v>8</v>
      </c>
      <c r="Q93" t="s">
        <v>8</v>
      </c>
      <c r="R93" t="s">
        <v>8</v>
      </c>
      <c r="S93" t="s">
        <v>8</v>
      </c>
      <c r="T93" t="s">
        <v>8</v>
      </c>
      <c r="U93" t="s">
        <v>7</v>
      </c>
      <c r="V93" t="s">
        <v>8</v>
      </c>
      <c r="W93">
        <v>3.3</v>
      </c>
      <c r="X93">
        <v>8.5</v>
      </c>
      <c r="Y93">
        <v>10.9</v>
      </c>
      <c r="Z93">
        <v>4.5</v>
      </c>
      <c r="AA93" t="s">
        <v>8</v>
      </c>
      <c r="AB93" t="s">
        <v>8</v>
      </c>
      <c r="AC93" t="s">
        <v>8</v>
      </c>
    </row>
    <row r="94" spans="1:29" x14ac:dyDescent="0.25">
      <c r="A94">
        <v>93</v>
      </c>
      <c r="B94" t="s">
        <v>507</v>
      </c>
      <c r="C94" t="s">
        <v>64</v>
      </c>
      <c r="E94">
        <v>1.7</v>
      </c>
      <c r="F94">
        <v>26.9</v>
      </c>
      <c r="H94" s="3">
        <f t="shared" si="14"/>
        <v>0</v>
      </c>
      <c r="L94">
        <v>3.8</v>
      </c>
      <c r="M94">
        <v>0</v>
      </c>
      <c r="N94">
        <v>6.1</v>
      </c>
      <c r="O94">
        <v>4.2</v>
      </c>
      <c r="P94">
        <v>3.4</v>
      </c>
      <c r="Q94">
        <v>0</v>
      </c>
      <c r="R94" t="s">
        <v>7</v>
      </c>
      <c r="S94">
        <v>0</v>
      </c>
      <c r="T94">
        <v>2.9</v>
      </c>
      <c r="U94">
        <v>0</v>
      </c>
      <c r="V94" t="s">
        <v>8</v>
      </c>
      <c r="W94">
        <v>2</v>
      </c>
      <c r="X94">
        <v>0.4</v>
      </c>
      <c r="Y94">
        <v>1.5</v>
      </c>
      <c r="Z94">
        <v>0</v>
      </c>
      <c r="AA94">
        <v>0</v>
      </c>
      <c r="AB94">
        <v>1.1000000000000001</v>
      </c>
      <c r="AC94">
        <v>1.5</v>
      </c>
    </row>
    <row r="95" spans="1:29" x14ac:dyDescent="0.25">
      <c r="A95">
        <v>94</v>
      </c>
      <c r="B95" t="s">
        <v>643</v>
      </c>
      <c r="C95" t="s">
        <v>18</v>
      </c>
      <c r="E95">
        <v>1.8</v>
      </c>
      <c r="F95">
        <v>26.7</v>
      </c>
      <c r="H95" s="3">
        <f t="shared" si="14"/>
        <v>0</v>
      </c>
      <c r="L95" t="s">
        <v>8</v>
      </c>
      <c r="M95">
        <v>0.4</v>
      </c>
      <c r="N95">
        <v>1.7</v>
      </c>
      <c r="O95">
        <v>3.2</v>
      </c>
      <c r="P95">
        <v>8.6</v>
      </c>
      <c r="Q95" t="s">
        <v>7</v>
      </c>
      <c r="R95">
        <v>3.3</v>
      </c>
      <c r="S95">
        <v>1.8</v>
      </c>
      <c r="T95">
        <v>1.8</v>
      </c>
      <c r="U95">
        <v>0.3</v>
      </c>
      <c r="V95">
        <v>1.6</v>
      </c>
      <c r="W95">
        <v>0.8</v>
      </c>
      <c r="X95">
        <v>0</v>
      </c>
      <c r="Y95">
        <v>3.3</v>
      </c>
      <c r="Z95">
        <v>0.3</v>
      </c>
      <c r="AA95" t="s">
        <v>8</v>
      </c>
      <c r="AB95">
        <v>0</v>
      </c>
      <c r="AC95">
        <v>-0.4</v>
      </c>
    </row>
    <row r="96" spans="1:29" x14ac:dyDescent="0.25">
      <c r="A96">
        <v>95</v>
      </c>
      <c r="B96" t="s">
        <v>493</v>
      </c>
      <c r="C96" t="s">
        <v>18</v>
      </c>
      <c r="E96">
        <v>1.8</v>
      </c>
      <c r="F96">
        <v>26.3</v>
      </c>
      <c r="H96" s="3">
        <f t="shared" si="14"/>
        <v>0</v>
      </c>
      <c r="L96">
        <v>0.8</v>
      </c>
      <c r="M96">
        <v>0.2</v>
      </c>
      <c r="N96">
        <v>4.4000000000000004</v>
      </c>
      <c r="O96">
        <v>0</v>
      </c>
      <c r="P96">
        <v>6.3</v>
      </c>
      <c r="Q96" t="s">
        <v>7</v>
      </c>
      <c r="R96">
        <v>1.4</v>
      </c>
      <c r="S96">
        <v>5.2</v>
      </c>
      <c r="T96">
        <v>0</v>
      </c>
      <c r="U96" t="s">
        <v>8</v>
      </c>
      <c r="V96" t="s">
        <v>8</v>
      </c>
      <c r="W96">
        <v>0</v>
      </c>
      <c r="X96">
        <v>3.5</v>
      </c>
      <c r="Y96">
        <v>0</v>
      </c>
      <c r="Z96">
        <v>0</v>
      </c>
      <c r="AA96">
        <v>0.4</v>
      </c>
      <c r="AB96">
        <v>0</v>
      </c>
      <c r="AC96">
        <v>4.0999999999999996</v>
      </c>
    </row>
    <row r="97" spans="1:29" x14ac:dyDescent="0.25">
      <c r="A97">
        <v>96</v>
      </c>
      <c r="B97" t="s">
        <v>555</v>
      </c>
      <c r="C97" t="s">
        <v>47</v>
      </c>
      <c r="E97">
        <v>2.9</v>
      </c>
      <c r="F97">
        <v>26.1</v>
      </c>
      <c r="H97" s="3">
        <f t="shared" si="14"/>
        <v>0</v>
      </c>
      <c r="L97">
        <v>1.1000000000000001</v>
      </c>
      <c r="M97">
        <v>0</v>
      </c>
      <c r="N97">
        <v>0</v>
      </c>
      <c r="O97" t="s">
        <v>8</v>
      </c>
      <c r="P97" t="s">
        <v>7</v>
      </c>
      <c r="Q97">
        <v>3.8</v>
      </c>
      <c r="R97" t="s">
        <v>8</v>
      </c>
      <c r="S97" t="s">
        <v>8</v>
      </c>
      <c r="T97">
        <v>4.8</v>
      </c>
      <c r="U97">
        <v>2.4</v>
      </c>
      <c r="V97">
        <v>0.3</v>
      </c>
      <c r="W97" t="s">
        <v>8</v>
      </c>
      <c r="X97" t="s">
        <v>8</v>
      </c>
      <c r="Y97" t="s">
        <v>8</v>
      </c>
      <c r="Z97" t="s">
        <v>8</v>
      </c>
      <c r="AA97">
        <v>8.1999999999999993</v>
      </c>
      <c r="AB97" t="s">
        <v>8</v>
      </c>
      <c r="AC97">
        <v>5.5</v>
      </c>
    </row>
    <row r="98" spans="1:29" x14ac:dyDescent="0.25">
      <c r="A98">
        <v>97</v>
      </c>
      <c r="B98" t="s">
        <v>644</v>
      </c>
      <c r="C98" t="s">
        <v>62</v>
      </c>
      <c r="E98">
        <v>1.5</v>
      </c>
      <c r="F98">
        <v>23.9</v>
      </c>
      <c r="H98" s="3">
        <f t="shared" ref="H98:H129" si="18">COUNTIFS(L98:AC98,"&gt;=15",L98:AC98,"&lt;=99")</f>
        <v>0</v>
      </c>
      <c r="L98">
        <v>0.3</v>
      </c>
      <c r="M98">
        <v>0.4</v>
      </c>
      <c r="N98">
        <v>8.4</v>
      </c>
      <c r="O98">
        <v>-0.4</v>
      </c>
      <c r="P98">
        <v>1.2</v>
      </c>
      <c r="Q98" t="s">
        <v>7</v>
      </c>
      <c r="R98">
        <v>1.7</v>
      </c>
      <c r="S98">
        <v>2.4</v>
      </c>
      <c r="T98">
        <v>0.9</v>
      </c>
      <c r="U98">
        <v>0.3</v>
      </c>
      <c r="V98">
        <v>1.7</v>
      </c>
      <c r="W98">
        <v>2.2999999999999998</v>
      </c>
      <c r="X98">
        <v>0</v>
      </c>
      <c r="Y98">
        <v>0</v>
      </c>
      <c r="Z98">
        <v>0</v>
      </c>
      <c r="AA98">
        <v>0</v>
      </c>
      <c r="AB98" t="s">
        <v>8</v>
      </c>
      <c r="AC98">
        <v>4.7</v>
      </c>
    </row>
    <row r="99" spans="1:29" x14ac:dyDescent="0.25">
      <c r="A99">
        <v>98</v>
      </c>
      <c r="B99" t="s">
        <v>645</v>
      </c>
      <c r="C99" t="s">
        <v>53</v>
      </c>
      <c r="E99">
        <v>1.9</v>
      </c>
      <c r="F99">
        <v>22.4</v>
      </c>
      <c r="H99" s="3">
        <f t="shared" si="18"/>
        <v>0</v>
      </c>
      <c r="L99" t="s">
        <v>8</v>
      </c>
      <c r="M99">
        <v>0</v>
      </c>
      <c r="N99">
        <v>1.1000000000000001</v>
      </c>
      <c r="O99">
        <v>0</v>
      </c>
      <c r="P99" t="s">
        <v>8</v>
      </c>
      <c r="Q99" t="s">
        <v>8</v>
      </c>
      <c r="R99">
        <v>0.5</v>
      </c>
      <c r="S99" t="s">
        <v>8</v>
      </c>
      <c r="T99" t="s">
        <v>8</v>
      </c>
      <c r="U99" t="s">
        <v>7</v>
      </c>
      <c r="V99">
        <v>0</v>
      </c>
      <c r="W99">
        <v>0</v>
      </c>
      <c r="X99">
        <v>0</v>
      </c>
      <c r="Y99">
        <v>6.5</v>
      </c>
      <c r="Z99">
        <v>0.9</v>
      </c>
      <c r="AA99">
        <v>3.9</v>
      </c>
      <c r="AB99">
        <v>4.5999999999999996</v>
      </c>
      <c r="AC99">
        <v>4.9000000000000004</v>
      </c>
    </row>
    <row r="100" spans="1:29" x14ac:dyDescent="0.25">
      <c r="A100">
        <v>99</v>
      </c>
      <c r="B100" t="s">
        <v>519</v>
      </c>
      <c r="C100" t="s">
        <v>28</v>
      </c>
      <c r="E100">
        <v>1.3</v>
      </c>
      <c r="F100">
        <v>21</v>
      </c>
      <c r="H100" s="3">
        <f t="shared" si="18"/>
        <v>0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0.2</v>
      </c>
      <c r="U100">
        <v>1</v>
      </c>
      <c r="V100" t="s">
        <v>7</v>
      </c>
      <c r="W100">
        <v>0</v>
      </c>
      <c r="X100" t="s">
        <v>8</v>
      </c>
      <c r="Y100">
        <v>0</v>
      </c>
      <c r="Z100">
        <v>1.5</v>
      </c>
      <c r="AA100">
        <v>7.1</v>
      </c>
      <c r="AB100">
        <v>1.5</v>
      </c>
      <c r="AC100">
        <v>3.7</v>
      </c>
    </row>
    <row r="101" spans="1:29" x14ac:dyDescent="0.25">
      <c r="A101">
        <v>100</v>
      </c>
      <c r="B101" t="s">
        <v>489</v>
      </c>
      <c r="C101" t="s">
        <v>10</v>
      </c>
      <c r="E101">
        <v>1.5</v>
      </c>
      <c r="F101">
        <v>20.9</v>
      </c>
      <c r="H101" s="3">
        <f t="shared" si="18"/>
        <v>0</v>
      </c>
      <c r="L101" t="s">
        <v>8</v>
      </c>
      <c r="M101">
        <v>0</v>
      </c>
      <c r="N101">
        <v>0</v>
      </c>
      <c r="O101">
        <v>0</v>
      </c>
      <c r="P101" t="s">
        <v>7</v>
      </c>
      <c r="Q101">
        <v>2.1</v>
      </c>
      <c r="R101">
        <v>0</v>
      </c>
      <c r="S101">
        <v>0.3</v>
      </c>
      <c r="T101">
        <v>0</v>
      </c>
      <c r="U101" t="s">
        <v>8</v>
      </c>
      <c r="V101">
        <v>2.1</v>
      </c>
      <c r="W101">
        <v>0.6</v>
      </c>
      <c r="X101" t="s">
        <v>8</v>
      </c>
      <c r="Y101">
        <v>0</v>
      </c>
      <c r="Z101">
        <v>0</v>
      </c>
      <c r="AA101">
        <v>3.3</v>
      </c>
      <c r="AB101">
        <v>8.6</v>
      </c>
      <c r="AC101">
        <v>3.9</v>
      </c>
    </row>
    <row r="102" spans="1:29" x14ac:dyDescent="0.25">
      <c r="A102">
        <v>101</v>
      </c>
      <c r="B102" t="s">
        <v>496</v>
      </c>
      <c r="C102" t="s">
        <v>20</v>
      </c>
      <c r="E102">
        <v>2.6</v>
      </c>
      <c r="F102">
        <v>18.3</v>
      </c>
      <c r="H102" s="3">
        <f t="shared" si="18"/>
        <v>0</v>
      </c>
      <c r="L102">
        <v>1.6</v>
      </c>
      <c r="M102">
        <v>1</v>
      </c>
      <c r="N102">
        <v>0.9</v>
      </c>
      <c r="O102">
        <v>2.6</v>
      </c>
      <c r="P102" t="s">
        <v>8</v>
      </c>
      <c r="Q102" t="s">
        <v>7</v>
      </c>
      <c r="R102">
        <v>0</v>
      </c>
      <c r="S102" t="s">
        <v>8</v>
      </c>
      <c r="T102" t="s">
        <v>8</v>
      </c>
      <c r="U102" t="s">
        <v>8</v>
      </c>
      <c r="V102" t="s">
        <v>8</v>
      </c>
      <c r="W102" t="s">
        <v>8</v>
      </c>
      <c r="X102" t="s">
        <v>8</v>
      </c>
      <c r="Y102">
        <v>0</v>
      </c>
      <c r="Z102" t="s">
        <v>8</v>
      </c>
      <c r="AA102" t="s">
        <v>8</v>
      </c>
      <c r="AB102" t="s">
        <v>8</v>
      </c>
      <c r="AC102">
        <v>12.2</v>
      </c>
    </row>
    <row r="103" spans="1:29" x14ac:dyDescent="0.25">
      <c r="A103">
        <v>102</v>
      </c>
      <c r="B103" t="s">
        <v>511</v>
      </c>
      <c r="C103" t="s">
        <v>55</v>
      </c>
      <c r="E103">
        <v>1.1000000000000001</v>
      </c>
      <c r="F103">
        <v>17.3</v>
      </c>
      <c r="H103" s="3">
        <f t="shared" si="18"/>
        <v>0</v>
      </c>
      <c r="L103">
        <v>2.5</v>
      </c>
      <c r="M103">
        <v>0</v>
      </c>
      <c r="N103">
        <v>-2</v>
      </c>
      <c r="O103">
        <v>0.1</v>
      </c>
      <c r="P103">
        <v>6.4</v>
      </c>
      <c r="Q103">
        <v>1.3</v>
      </c>
      <c r="R103">
        <v>1.9</v>
      </c>
      <c r="S103">
        <v>1.3</v>
      </c>
      <c r="T103">
        <v>0</v>
      </c>
      <c r="U103">
        <v>0</v>
      </c>
      <c r="V103" t="s">
        <v>7</v>
      </c>
      <c r="W103">
        <v>2.6</v>
      </c>
      <c r="X103">
        <v>0</v>
      </c>
      <c r="Y103" t="s">
        <v>8</v>
      </c>
      <c r="Z103">
        <v>0</v>
      </c>
      <c r="AA103">
        <v>1.2</v>
      </c>
      <c r="AB103">
        <v>0</v>
      </c>
      <c r="AC103">
        <v>2</v>
      </c>
    </row>
    <row r="104" spans="1:29" x14ac:dyDescent="0.25">
      <c r="A104">
        <v>103</v>
      </c>
      <c r="B104" t="s">
        <v>501</v>
      </c>
      <c r="C104" t="s">
        <v>12</v>
      </c>
      <c r="E104">
        <v>1</v>
      </c>
      <c r="F104">
        <v>17.2</v>
      </c>
      <c r="H104" s="3">
        <f t="shared" si="18"/>
        <v>0</v>
      </c>
      <c r="L104">
        <v>0</v>
      </c>
      <c r="M104">
        <v>0</v>
      </c>
      <c r="N104">
        <v>0</v>
      </c>
      <c r="O104">
        <v>6</v>
      </c>
      <c r="P104">
        <v>0</v>
      </c>
      <c r="Q104">
        <v>0</v>
      </c>
      <c r="R104">
        <v>0</v>
      </c>
      <c r="S104">
        <v>0</v>
      </c>
      <c r="T104">
        <v>7.3</v>
      </c>
      <c r="U104">
        <v>0</v>
      </c>
      <c r="V104">
        <v>1.5</v>
      </c>
      <c r="W104">
        <v>0</v>
      </c>
      <c r="X104">
        <v>0</v>
      </c>
      <c r="Y104" t="s">
        <v>7</v>
      </c>
      <c r="Z104">
        <v>0</v>
      </c>
      <c r="AA104">
        <v>0</v>
      </c>
      <c r="AB104">
        <v>0</v>
      </c>
      <c r="AC104">
        <v>2.4</v>
      </c>
    </row>
    <row r="105" spans="1:29" x14ac:dyDescent="0.25">
      <c r="A105">
        <v>104</v>
      </c>
      <c r="B105" t="s">
        <v>646</v>
      </c>
      <c r="C105" t="s">
        <v>6</v>
      </c>
      <c r="E105">
        <v>1.2</v>
      </c>
      <c r="F105">
        <v>15.7</v>
      </c>
      <c r="H105" s="3">
        <f t="shared" si="18"/>
        <v>0</v>
      </c>
      <c r="L105">
        <v>0</v>
      </c>
      <c r="M105">
        <v>0</v>
      </c>
      <c r="N105">
        <v>0</v>
      </c>
      <c r="O105">
        <v>0</v>
      </c>
      <c r="P105" t="s">
        <v>7</v>
      </c>
      <c r="Q105">
        <v>0</v>
      </c>
      <c r="R105">
        <v>1.5</v>
      </c>
      <c r="S105">
        <v>-0.3</v>
      </c>
      <c r="T105">
        <v>0</v>
      </c>
      <c r="U105">
        <v>3.4</v>
      </c>
      <c r="V105">
        <v>0</v>
      </c>
      <c r="W105" t="s">
        <v>8</v>
      </c>
      <c r="X105">
        <v>0.4</v>
      </c>
      <c r="Y105">
        <v>0</v>
      </c>
      <c r="Z105" t="s">
        <v>8</v>
      </c>
      <c r="AA105" t="s">
        <v>8</v>
      </c>
      <c r="AB105" t="s">
        <v>8</v>
      </c>
      <c r="AC105">
        <v>10.7</v>
      </c>
    </row>
    <row r="106" spans="1:29" x14ac:dyDescent="0.25">
      <c r="A106">
        <v>105</v>
      </c>
      <c r="B106" t="s">
        <v>515</v>
      </c>
      <c r="C106" t="s">
        <v>38</v>
      </c>
      <c r="E106">
        <v>0.8</v>
      </c>
      <c r="F106">
        <v>13.5</v>
      </c>
      <c r="H106" s="3">
        <f t="shared" si="18"/>
        <v>0</v>
      </c>
      <c r="L106">
        <v>1.1000000000000001</v>
      </c>
      <c r="M106">
        <v>0</v>
      </c>
      <c r="N106">
        <v>0</v>
      </c>
      <c r="O106">
        <v>0</v>
      </c>
      <c r="P106">
        <v>7</v>
      </c>
      <c r="Q106" t="s">
        <v>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1.9</v>
      </c>
      <c r="AB106">
        <v>3.5</v>
      </c>
      <c r="AC106">
        <v>0</v>
      </c>
    </row>
    <row r="107" spans="1:29" x14ac:dyDescent="0.25">
      <c r="A107">
        <v>106</v>
      </c>
      <c r="B107" t="s">
        <v>553</v>
      </c>
      <c r="C107" t="s">
        <v>47</v>
      </c>
      <c r="E107">
        <v>1</v>
      </c>
      <c r="F107">
        <v>13.3</v>
      </c>
      <c r="H107" s="3">
        <f t="shared" si="18"/>
        <v>0</v>
      </c>
      <c r="L107">
        <v>0</v>
      </c>
      <c r="M107">
        <v>0</v>
      </c>
      <c r="N107" t="s">
        <v>8</v>
      </c>
      <c r="O107" t="s">
        <v>8</v>
      </c>
      <c r="P107" t="s">
        <v>7</v>
      </c>
      <c r="Q107">
        <v>0.2</v>
      </c>
      <c r="R107">
        <v>3.4</v>
      </c>
      <c r="S107">
        <v>3.2</v>
      </c>
      <c r="T107">
        <v>2.2000000000000002</v>
      </c>
      <c r="U107">
        <v>0</v>
      </c>
      <c r="V107">
        <v>0</v>
      </c>
      <c r="W107">
        <v>1.5</v>
      </c>
      <c r="X107">
        <v>0</v>
      </c>
      <c r="Y107">
        <v>0</v>
      </c>
      <c r="Z107" t="s">
        <v>8</v>
      </c>
      <c r="AA107">
        <v>0</v>
      </c>
      <c r="AB107">
        <v>1.7</v>
      </c>
      <c r="AC107">
        <v>1.1000000000000001</v>
      </c>
    </row>
    <row r="108" spans="1:29" x14ac:dyDescent="0.25">
      <c r="A108">
        <v>107</v>
      </c>
      <c r="B108" t="s">
        <v>505</v>
      </c>
      <c r="C108" t="s">
        <v>64</v>
      </c>
      <c r="E108">
        <v>2</v>
      </c>
      <c r="F108">
        <v>11.8</v>
      </c>
      <c r="H108" s="3">
        <f t="shared" si="18"/>
        <v>0</v>
      </c>
      <c r="L108">
        <v>0.4</v>
      </c>
      <c r="M108">
        <v>2.7</v>
      </c>
      <c r="N108">
        <v>2.2999999999999998</v>
      </c>
      <c r="O108">
        <v>0</v>
      </c>
      <c r="P108" t="s">
        <v>8</v>
      </c>
      <c r="Q108" t="s">
        <v>8</v>
      </c>
      <c r="R108" t="s">
        <v>7</v>
      </c>
      <c r="S108" t="s">
        <v>8</v>
      </c>
      <c r="T108" t="s">
        <v>8</v>
      </c>
      <c r="U108" t="s">
        <v>8</v>
      </c>
      <c r="V108">
        <v>2.7</v>
      </c>
      <c r="W108" t="s">
        <v>8</v>
      </c>
      <c r="X108" t="s">
        <v>8</v>
      </c>
      <c r="Y108" t="s">
        <v>8</v>
      </c>
      <c r="Z108" t="s">
        <v>8</v>
      </c>
      <c r="AA108" t="s">
        <v>8</v>
      </c>
      <c r="AB108" t="s">
        <v>8</v>
      </c>
      <c r="AC108">
        <v>3.7</v>
      </c>
    </row>
    <row r="109" spans="1:29" x14ac:dyDescent="0.25">
      <c r="A109">
        <v>108</v>
      </c>
      <c r="B109" t="s">
        <v>488</v>
      </c>
      <c r="C109" t="s">
        <v>90</v>
      </c>
      <c r="E109">
        <v>11.5</v>
      </c>
      <c r="F109">
        <v>11.5</v>
      </c>
      <c r="H109" s="3">
        <f t="shared" si="18"/>
        <v>0</v>
      </c>
      <c r="L109" t="s">
        <v>8</v>
      </c>
      <c r="M109" t="s">
        <v>8</v>
      </c>
      <c r="N109" t="s">
        <v>8</v>
      </c>
      <c r="O109" t="s">
        <v>8</v>
      </c>
      <c r="P109" t="s">
        <v>8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 t="s">
        <v>8</v>
      </c>
      <c r="X109" t="s">
        <v>8</v>
      </c>
      <c r="Y109" t="s">
        <v>8</v>
      </c>
      <c r="Z109" t="s">
        <v>8</v>
      </c>
      <c r="AA109" t="s">
        <v>8</v>
      </c>
      <c r="AB109" t="s">
        <v>8</v>
      </c>
      <c r="AC109">
        <v>11.5</v>
      </c>
    </row>
    <row r="110" spans="1:29" x14ac:dyDescent="0.25">
      <c r="A110">
        <v>109</v>
      </c>
      <c r="B110" t="s">
        <v>483</v>
      </c>
      <c r="C110" t="s">
        <v>90</v>
      </c>
      <c r="E110">
        <v>1.2</v>
      </c>
      <c r="F110">
        <v>10.6</v>
      </c>
      <c r="H110" s="3">
        <f t="shared" si="18"/>
        <v>0</v>
      </c>
      <c r="L110">
        <v>2.6</v>
      </c>
      <c r="M110">
        <v>3.2</v>
      </c>
      <c r="N110">
        <v>1.4</v>
      </c>
      <c r="O110">
        <v>0</v>
      </c>
      <c r="P110" t="s">
        <v>8</v>
      </c>
      <c r="Q110" t="s">
        <v>8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 t="s">
        <v>8</v>
      </c>
      <c r="X110">
        <v>0</v>
      </c>
      <c r="Y110">
        <v>2.1</v>
      </c>
      <c r="Z110" t="s">
        <v>8</v>
      </c>
      <c r="AA110">
        <v>1.2</v>
      </c>
      <c r="AB110">
        <v>0.5</v>
      </c>
      <c r="AC110">
        <v>-0.4</v>
      </c>
    </row>
    <row r="111" spans="1:29" x14ac:dyDescent="0.25">
      <c r="A111">
        <v>110</v>
      </c>
      <c r="B111" t="s">
        <v>471</v>
      </c>
      <c r="C111" t="s">
        <v>26</v>
      </c>
      <c r="E111">
        <v>5</v>
      </c>
      <c r="F111">
        <v>10</v>
      </c>
      <c r="H111" s="3">
        <f t="shared" si="18"/>
        <v>0</v>
      </c>
      <c r="L111" t="s">
        <v>8</v>
      </c>
      <c r="M111" t="s">
        <v>8</v>
      </c>
      <c r="N111" t="s">
        <v>8</v>
      </c>
      <c r="O111" t="s">
        <v>8</v>
      </c>
      <c r="P111" t="s">
        <v>8</v>
      </c>
      <c r="Q111" t="s">
        <v>8</v>
      </c>
      <c r="R111" t="s">
        <v>8</v>
      </c>
      <c r="S111" t="s">
        <v>8</v>
      </c>
      <c r="T111" t="s">
        <v>8</v>
      </c>
      <c r="U111" t="s">
        <v>8</v>
      </c>
      <c r="V111" t="s">
        <v>8</v>
      </c>
      <c r="W111" t="s">
        <v>7</v>
      </c>
      <c r="X111" t="s">
        <v>8</v>
      </c>
      <c r="Y111" t="s">
        <v>8</v>
      </c>
      <c r="Z111" t="s">
        <v>8</v>
      </c>
      <c r="AA111" t="s">
        <v>8</v>
      </c>
      <c r="AB111">
        <v>5</v>
      </c>
      <c r="AC111">
        <v>5</v>
      </c>
    </row>
    <row r="112" spans="1:29" x14ac:dyDescent="0.25">
      <c r="A112">
        <v>111</v>
      </c>
      <c r="B112" t="s">
        <v>647</v>
      </c>
      <c r="C112" t="s">
        <v>50</v>
      </c>
      <c r="E112">
        <v>3.1</v>
      </c>
      <c r="F112">
        <v>9.4</v>
      </c>
      <c r="H112" s="3">
        <f t="shared" si="18"/>
        <v>0</v>
      </c>
      <c r="L112" t="s">
        <v>8</v>
      </c>
      <c r="M112">
        <v>2.8</v>
      </c>
      <c r="N112">
        <v>7</v>
      </c>
      <c r="O112">
        <v>-0.4</v>
      </c>
      <c r="P112" t="s">
        <v>8</v>
      </c>
      <c r="Q112" t="s">
        <v>8</v>
      </c>
      <c r="R112" t="s">
        <v>8</v>
      </c>
      <c r="S112" t="s">
        <v>8</v>
      </c>
      <c r="T112" t="s">
        <v>8</v>
      </c>
      <c r="U112" t="s">
        <v>8</v>
      </c>
      <c r="V112" t="s">
        <v>8</v>
      </c>
      <c r="W112" t="s">
        <v>8</v>
      </c>
      <c r="X112" t="s">
        <v>8</v>
      </c>
      <c r="Y112" t="s">
        <v>7</v>
      </c>
      <c r="Z112" t="s">
        <v>8</v>
      </c>
      <c r="AA112" t="s">
        <v>8</v>
      </c>
      <c r="AB112" t="s">
        <v>8</v>
      </c>
      <c r="AC112" t="s">
        <v>8</v>
      </c>
    </row>
    <row r="113" spans="1:29" x14ac:dyDescent="0.25">
      <c r="A113">
        <v>112</v>
      </c>
      <c r="B113" t="s">
        <v>648</v>
      </c>
      <c r="C113" t="s">
        <v>10</v>
      </c>
      <c r="E113">
        <v>0.7</v>
      </c>
      <c r="F113">
        <v>8.1</v>
      </c>
      <c r="H113" s="3">
        <f t="shared" si="18"/>
        <v>0</v>
      </c>
      <c r="L113">
        <v>0</v>
      </c>
      <c r="M113">
        <v>2.7</v>
      </c>
      <c r="N113">
        <v>0</v>
      </c>
      <c r="O113" t="s">
        <v>8</v>
      </c>
      <c r="P113" t="s">
        <v>7</v>
      </c>
      <c r="Q113">
        <v>0.5</v>
      </c>
      <c r="R113">
        <v>0</v>
      </c>
      <c r="S113">
        <v>0</v>
      </c>
      <c r="T113" t="s">
        <v>8</v>
      </c>
      <c r="U113">
        <v>0</v>
      </c>
      <c r="V113">
        <v>0.9</v>
      </c>
      <c r="W113">
        <v>0</v>
      </c>
      <c r="X113" t="s">
        <v>8</v>
      </c>
      <c r="Y113" t="s">
        <v>8</v>
      </c>
      <c r="Z113">
        <v>0</v>
      </c>
      <c r="AA113">
        <v>4</v>
      </c>
      <c r="AB113">
        <v>0</v>
      </c>
      <c r="AC113" t="s">
        <v>8</v>
      </c>
    </row>
    <row r="114" spans="1:29" x14ac:dyDescent="0.25">
      <c r="A114">
        <v>113</v>
      </c>
      <c r="B114" t="s">
        <v>499</v>
      </c>
      <c r="C114" t="s">
        <v>36</v>
      </c>
      <c r="E114">
        <v>0.5</v>
      </c>
      <c r="F114">
        <v>8</v>
      </c>
      <c r="H114" s="3">
        <f t="shared" si="18"/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7</v>
      </c>
      <c r="W114">
        <v>0</v>
      </c>
      <c r="X114">
        <v>0</v>
      </c>
      <c r="Y114">
        <v>0</v>
      </c>
      <c r="Z114" t="s">
        <v>8</v>
      </c>
      <c r="AA114">
        <v>1.3</v>
      </c>
      <c r="AB114">
        <v>2</v>
      </c>
      <c r="AC114">
        <v>4.7</v>
      </c>
    </row>
    <row r="115" spans="1:29" x14ac:dyDescent="0.25">
      <c r="A115">
        <v>114</v>
      </c>
      <c r="B115" t="s">
        <v>649</v>
      </c>
      <c r="C115" t="s">
        <v>36</v>
      </c>
      <c r="E115">
        <v>2.5</v>
      </c>
      <c r="F115">
        <v>7.5</v>
      </c>
      <c r="H115" s="3">
        <f t="shared" si="18"/>
        <v>0</v>
      </c>
      <c r="L115" t="s">
        <v>8</v>
      </c>
      <c r="M115" t="s">
        <v>8</v>
      </c>
      <c r="N115" t="s">
        <v>8</v>
      </c>
      <c r="O115" t="s">
        <v>8</v>
      </c>
      <c r="P115" t="s">
        <v>8</v>
      </c>
      <c r="Q115" t="s">
        <v>8</v>
      </c>
      <c r="R115" t="s">
        <v>8</v>
      </c>
      <c r="S115" t="s">
        <v>8</v>
      </c>
      <c r="T115" t="s">
        <v>8</v>
      </c>
      <c r="U115" t="s">
        <v>8</v>
      </c>
      <c r="V115" t="s">
        <v>7</v>
      </c>
      <c r="W115">
        <v>0.7</v>
      </c>
      <c r="X115">
        <v>7.1</v>
      </c>
      <c r="Y115">
        <v>-0.3</v>
      </c>
      <c r="Z115" t="s">
        <v>8</v>
      </c>
      <c r="AA115" t="s">
        <v>8</v>
      </c>
      <c r="AB115" t="s">
        <v>8</v>
      </c>
      <c r="AC115" t="s">
        <v>8</v>
      </c>
    </row>
    <row r="116" spans="1:29" x14ac:dyDescent="0.25">
      <c r="A116">
        <v>115</v>
      </c>
      <c r="B116" t="s">
        <v>470</v>
      </c>
      <c r="C116" t="s">
        <v>12</v>
      </c>
      <c r="E116">
        <v>1.7</v>
      </c>
      <c r="F116">
        <v>6.8</v>
      </c>
      <c r="H116" s="3">
        <f t="shared" si="18"/>
        <v>0</v>
      </c>
      <c r="L116" t="s">
        <v>8</v>
      </c>
      <c r="M116" t="s">
        <v>8</v>
      </c>
      <c r="N116" t="s">
        <v>8</v>
      </c>
      <c r="O116" t="s">
        <v>8</v>
      </c>
      <c r="P116" t="s">
        <v>8</v>
      </c>
      <c r="Q116" t="s">
        <v>8</v>
      </c>
      <c r="R116" t="s">
        <v>8</v>
      </c>
      <c r="S116" t="s">
        <v>8</v>
      </c>
      <c r="T116" t="s">
        <v>8</v>
      </c>
      <c r="U116">
        <v>0</v>
      </c>
      <c r="V116">
        <v>0</v>
      </c>
      <c r="W116" t="s">
        <v>8</v>
      </c>
      <c r="X116" t="s">
        <v>8</v>
      </c>
      <c r="Y116" t="s">
        <v>7</v>
      </c>
      <c r="Z116" t="s">
        <v>8</v>
      </c>
      <c r="AA116" t="s">
        <v>8</v>
      </c>
      <c r="AB116">
        <v>5.8</v>
      </c>
      <c r="AC116">
        <v>1</v>
      </c>
    </row>
    <row r="117" spans="1:29" x14ac:dyDescent="0.25">
      <c r="A117">
        <v>116</v>
      </c>
      <c r="B117" t="s">
        <v>650</v>
      </c>
      <c r="C117" t="s">
        <v>32</v>
      </c>
      <c r="E117">
        <v>1.6</v>
      </c>
      <c r="F117">
        <v>6.4</v>
      </c>
      <c r="H117" s="3">
        <f t="shared" si="18"/>
        <v>0</v>
      </c>
      <c r="L117" t="s">
        <v>8</v>
      </c>
      <c r="M117" t="s">
        <v>8</v>
      </c>
      <c r="N117">
        <v>2.2999999999999998</v>
      </c>
      <c r="O117">
        <v>1.8</v>
      </c>
      <c r="P117" t="s">
        <v>8</v>
      </c>
      <c r="Q117" t="s">
        <v>8</v>
      </c>
      <c r="R117" t="s">
        <v>8</v>
      </c>
      <c r="S117" t="s">
        <v>8</v>
      </c>
      <c r="T117">
        <v>2.2999999999999998</v>
      </c>
      <c r="U117">
        <v>0</v>
      </c>
      <c r="V117" t="s">
        <v>8</v>
      </c>
      <c r="W117" t="s">
        <v>8</v>
      </c>
      <c r="X117" t="s">
        <v>8</v>
      </c>
      <c r="Y117" t="s">
        <v>7</v>
      </c>
      <c r="Z117" t="s">
        <v>8</v>
      </c>
      <c r="AA117" t="s">
        <v>8</v>
      </c>
      <c r="AB117" t="s">
        <v>8</v>
      </c>
      <c r="AC117" t="s">
        <v>8</v>
      </c>
    </row>
    <row r="118" spans="1:29" x14ac:dyDescent="0.25">
      <c r="A118">
        <v>117</v>
      </c>
      <c r="B118" t="s">
        <v>557</v>
      </c>
      <c r="C118" t="s">
        <v>43</v>
      </c>
      <c r="E118">
        <v>0.7</v>
      </c>
      <c r="F118">
        <v>6.4</v>
      </c>
      <c r="H118" s="3">
        <f t="shared" si="18"/>
        <v>0</v>
      </c>
      <c r="L118">
        <v>1</v>
      </c>
      <c r="M118">
        <v>0.6</v>
      </c>
      <c r="N118" t="s">
        <v>8</v>
      </c>
      <c r="O118" t="s">
        <v>8</v>
      </c>
      <c r="P118" t="s">
        <v>8</v>
      </c>
      <c r="Q118" t="s">
        <v>8</v>
      </c>
      <c r="R118" t="s">
        <v>7</v>
      </c>
      <c r="S118" t="s">
        <v>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4.0999999999999996</v>
      </c>
      <c r="Z118">
        <v>0.7</v>
      </c>
      <c r="AA118" t="s">
        <v>8</v>
      </c>
      <c r="AB118" t="s">
        <v>8</v>
      </c>
      <c r="AC118" t="s">
        <v>8</v>
      </c>
    </row>
    <row r="119" spans="1:29" x14ac:dyDescent="0.25">
      <c r="A119">
        <v>118</v>
      </c>
      <c r="B119" t="s">
        <v>539</v>
      </c>
      <c r="C119" t="s">
        <v>40</v>
      </c>
      <c r="E119">
        <v>3</v>
      </c>
      <c r="F119">
        <v>6</v>
      </c>
      <c r="H119" s="3">
        <f t="shared" si="18"/>
        <v>0</v>
      </c>
      <c r="L119" t="s">
        <v>8</v>
      </c>
      <c r="M119" t="s">
        <v>8</v>
      </c>
      <c r="N119" t="s">
        <v>8</v>
      </c>
      <c r="O119" t="s">
        <v>8</v>
      </c>
      <c r="P119" t="s">
        <v>8</v>
      </c>
      <c r="Q119" t="s">
        <v>8</v>
      </c>
      <c r="R119" t="s">
        <v>8</v>
      </c>
      <c r="S119" t="s">
        <v>8</v>
      </c>
      <c r="T119" t="s">
        <v>8</v>
      </c>
      <c r="U119" t="s">
        <v>8</v>
      </c>
      <c r="V119" t="s">
        <v>8</v>
      </c>
      <c r="W119" t="s">
        <v>7</v>
      </c>
      <c r="X119">
        <v>6</v>
      </c>
      <c r="Y119">
        <v>0</v>
      </c>
      <c r="Z119" t="s">
        <v>8</v>
      </c>
      <c r="AA119" t="s">
        <v>8</v>
      </c>
      <c r="AB119" t="s">
        <v>8</v>
      </c>
      <c r="AC119" t="s">
        <v>8</v>
      </c>
    </row>
    <row r="120" spans="1:29" x14ac:dyDescent="0.25">
      <c r="A120">
        <v>119</v>
      </c>
      <c r="B120" t="s">
        <v>512</v>
      </c>
      <c r="C120" t="s">
        <v>90</v>
      </c>
      <c r="E120">
        <v>1.2</v>
      </c>
      <c r="F120">
        <v>5.9</v>
      </c>
      <c r="H120" s="3">
        <f t="shared" si="18"/>
        <v>0</v>
      </c>
      <c r="L120">
        <v>0.7</v>
      </c>
      <c r="M120" t="s">
        <v>8</v>
      </c>
      <c r="N120" t="s">
        <v>8</v>
      </c>
      <c r="O120" t="s">
        <v>8</v>
      </c>
      <c r="P120" t="s">
        <v>8</v>
      </c>
      <c r="Q120" t="s">
        <v>8</v>
      </c>
      <c r="R120" t="s">
        <v>8</v>
      </c>
      <c r="S120" t="s">
        <v>8</v>
      </c>
      <c r="T120" t="s">
        <v>8</v>
      </c>
      <c r="U120" t="s">
        <v>8</v>
      </c>
      <c r="V120" t="s">
        <v>8</v>
      </c>
      <c r="W120" t="s">
        <v>8</v>
      </c>
      <c r="X120" t="s">
        <v>8</v>
      </c>
      <c r="Y120" t="s">
        <v>8</v>
      </c>
      <c r="Z120">
        <v>1.4</v>
      </c>
      <c r="AA120">
        <v>0.1</v>
      </c>
      <c r="AB120">
        <v>1.1000000000000001</v>
      </c>
      <c r="AC120">
        <v>2.6</v>
      </c>
    </row>
    <row r="121" spans="1:29" x14ac:dyDescent="0.25">
      <c r="A121">
        <v>120</v>
      </c>
      <c r="B121" t="s">
        <v>651</v>
      </c>
      <c r="C121" t="s">
        <v>90</v>
      </c>
      <c r="E121">
        <v>4.9000000000000004</v>
      </c>
      <c r="F121">
        <v>4.9000000000000004</v>
      </c>
      <c r="H121" s="3">
        <f t="shared" si="18"/>
        <v>0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  <c r="Q121" t="s">
        <v>8</v>
      </c>
      <c r="R121" t="s">
        <v>8</v>
      </c>
      <c r="S121" t="s">
        <v>8</v>
      </c>
      <c r="T121" t="s">
        <v>8</v>
      </c>
      <c r="U121" t="s">
        <v>8</v>
      </c>
      <c r="V121" t="s">
        <v>8</v>
      </c>
      <c r="W121" t="s">
        <v>8</v>
      </c>
      <c r="X121" t="s">
        <v>8</v>
      </c>
      <c r="Y121" t="s">
        <v>8</v>
      </c>
      <c r="Z121" t="s">
        <v>8</v>
      </c>
      <c r="AA121" t="s">
        <v>8</v>
      </c>
      <c r="AB121" t="s">
        <v>8</v>
      </c>
      <c r="AC121">
        <v>4.9000000000000004</v>
      </c>
    </row>
    <row r="122" spans="1:29" x14ac:dyDescent="0.25">
      <c r="A122">
        <v>121</v>
      </c>
      <c r="B122" t="s">
        <v>652</v>
      </c>
      <c r="C122" t="s">
        <v>47</v>
      </c>
      <c r="E122">
        <v>2.1</v>
      </c>
      <c r="F122">
        <v>4.2</v>
      </c>
      <c r="H122" s="3">
        <f t="shared" si="18"/>
        <v>0</v>
      </c>
      <c r="L122" t="s">
        <v>8</v>
      </c>
      <c r="M122" t="s">
        <v>8</v>
      </c>
      <c r="N122" t="s">
        <v>8</v>
      </c>
      <c r="O122" t="s">
        <v>8</v>
      </c>
      <c r="P122" t="s">
        <v>7</v>
      </c>
      <c r="Q122" t="s">
        <v>8</v>
      </c>
      <c r="R122" t="s">
        <v>8</v>
      </c>
      <c r="S122" t="s">
        <v>8</v>
      </c>
      <c r="T122" t="s">
        <v>8</v>
      </c>
      <c r="U122" t="s">
        <v>8</v>
      </c>
      <c r="V122" t="s">
        <v>8</v>
      </c>
      <c r="W122" t="s">
        <v>8</v>
      </c>
      <c r="X122" t="s">
        <v>8</v>
      </c>
      <c r="Y122" t="s">
        <v>8</v>
      </c>
      <c r="Z122" t="s">
        <v>8</v>
      </c>
      <c r="AA122">
        <v>3.3</v>
      </c>
      <c r="AB122">
        <v>0.9</v>
      </c>
      <c r="AC122" t="s">
        <v>8</v>
      </c>
    </row>
    <row r="123" spans="1:29" x14ac:dyDescent="0.25">
      <c r="A123">
        <v>122</v>
      </c>
      <c r="B123" t="s">
        <v>484</v>
      </c>
      <c r="C123" t="s">
        <v>90</v>
      </c>
      <c r="E123">
        <v>2</v>
      </c>
      <c r="F123">
        <v>4</v>
      </c>
      <c r="H123" s="3">
        <f t="shared" si="18"/>
        <v>0</v>
      </c>
      <c r="L123" t="s">
        <v>8</v>
      </c>
      <c r="M123" t="s">
        <v>8</v>
      </c>
      <c r="N123" t="s">
        <v>8</v>
      </c>
      <c r="O123" t="s">
        <v>8</v>
      </c>
      <c r="P123" t="s">
        <v>8</v>
      </c>
      <c r="Q123" t="s">
        <v>8</v>
      </c>
      <c r="R123" t="s">
        <v>8</v>
      </c>
      <c r="S123">
        <v>3.2</v>
      </c>
      <c r="T123">
        <v>0.8</v>
      </c>
      <c r="U123" t="s">
        <v>8</v>
      </c>
      <c r="V123" t="s">
        <v>8</v>
      </c>
      <c r="W123" t="s">
        <v>8</v>
      </c>
      <c r="X123" t="s">
        <v>8</v>
      </c>
      <c r="Y123" t="s">
        <v>8</v>
      </c>
      <c r="Z123" t="s">
        <v>8</v>
      </c>
      <c r="AA123" t="s">
        <v>8</v>
      </c>
      <c r="AB123" t="s">
        <v>8</v>
      </c>
      <c r="AC123" t="s">
        <v>8</v>
      </c>
    </row>
    <row r="124" spans="1:29" x14ac:dyDescent="0.25">
      <c r="A124">
        <v>123</v>
      </c>
      <c r="B124" t="s">
        <v>653</v>
      </c>
      <c r="C124" t="s">
        <v>50</v>
      </c>
      <c r="E124">
        <v>1.1000000000000001</v>
      </c>
      <c r="F124">
        <v>3.3</v>
      </c>
      <c r="H124" s="3">
        <f t="shared" si="18"/>
        <v>0</v>
      </c>
      <c r="L124" t="s">
        <v>8</v>
      </c>
      <c r="M124" t="s">
        <v>8</v>
      </c>
      <c r="N124" t="s">
        <v>8</v>
      </c>
      <c r="O124" t="s">
        <v>8</v>
      </c>
      <c r="P124">
        <v>0</v>
      </c>
      <c r="Q124" t="s">
        <v>8</v>
      </c>
      <c r="R124" t="s">
        <v>8</v>
      </c>
      <c r="S124">
        <v>0</v>
      </c>
      <c r="T124" t="s">
        <v>8</v>
      </c>
      <c r="U124" t="s">
        <v>8</v>
      </c>
      <c r="V124" t="s">
        <v>8</v>
      </c>
      <c r="W124" t="s">
        <v>8</v>
      </c>
      <c r="X124" t="s">
        <v>8</v>
      </c>
      <c r="Y124" t="s">
        <v>7</v>
      </c>
      <c r="Z124" t="s">
        <v>8</v>
      </c>
      <c r="AA124">
        <v>3.3</v>
      </c>
      <c r="AB124" t="s">
        <v>8</v>
      </c>
      <c r="AC124" t="s">
        <v>8</v>
      </c>
    </row>
    <row r="125" spans="1:29" x14ac:dyDescent="0.25">
      <c r="A125">
        <v>123</v>
      </c>
      <c r="B125" t="s">
        <v>654</v>
      </c>
      <c r="C125" t="s">
        <v>57</v>
      </c>
      <c r="E125">
        <v>1.7</v>
      </c>
      <c r="F125">
        <v>3.3</v>
      </c>
      <c r="H125" s="3">
        <f t="shared" si="18"/>
        <v>0</v>
      </c>
      <c r="L125" t="s">
        <v>8</v>
      </c>
      <c r="M125" t="s">
        <v>8</v>
      </c>
      <c r="N125" t="s">
        <v>8</v>
      </c>
      <c r="O125" t="s">
        <v>8</v>
      </c>
      <c r="P125" t="s">
        <v>8</v>
      </c>
      <c r="Q125">
        <v>1.3</v>
      </c>
      <c r="R125" t="s">
        <v>8</v>
      </c>
      <c r="S125" t="s">
        <v>8</v>
      </c>
      <c r="T125" t="s">
        <v>8</v>
      </c>
      <c r="U125" t="s">
        <v>8</v>
      </c>
      <c r="V125" t="s">
        <v>8</v>
      </c>
      <c r="W125" t="s">
        <v>8</v>
      </c>
      <c r="X125" t="s">
        <v>8</v>
      </c>
      <c r="Y125" t="s">
        <v>7</v>
      </c>
      <c r="Z125" t="s">
        <v>8</v>
      </c>
      <c r="AA125" t="s">
        <v>8</v>
      </c>
      <c r="AB125" t="s">
        <v>8</v>
      </c>
      <c r="AC125">
        <v>2</v>
      </c>
    </row>
    <row r="126" spans="1:29" x14ac:dyDescent="0.25">
      <c r="A126">
        <v>125</v>
      </c>
      <c r="B126" t="s">
        <v>655</v>
      </c>
      <c r="C126" t="s">
        <v>90</v>
      </c>
      <c r="E126">
        <v>1.1000000000000001</v>
      </c>
      <c r="F126">
        <v>3.2</v>
      </c>
      <c r="H126" s="3">
        <f t="shared" si="18"/>
        <v>0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  <c r="Q126" t="s">
        <v>8</v>
      </c>
      <c r="R126">
        <v>1.7</v>
      </c>
      <c r="S126" t="s">
        <v>8</v>
      </c>
      <c r="T126" t="s">
        <v>8</v>
      </c>
      <c r="U126" t="s">
        <v>8</v>
      </c>
      <c r="V126">
        <v>1.5</v>
      </c>
      <c r="W126" t="s">
        <v>8</v>
      </c>
      <c r="X126" t="s">
        <v>8</v>
      </c>
      <c r="Y126" t="s">
        <v>8</v>
      </c>
      <c r="Z126" t="s">
        <v>8</v>
      </c>
      <c r="AA126" t="s">
        <v>8</v>
      </c>
      <c r="AB126">
        <v>0</v>
      </c>
      <c r="AC126" t="s">
        <v>8</v>
      </c>
    </row>
    <row r="127" spans="1:29" x14ac:dyDescent="0.25">
      <c r="A127">
        <v>126</v>
      </c>
      <c r="B127" t="s">
        <v>656</v>
      </c>
      <c r="C127" t="s">
        <v>12</v>
      </c>
      <c r="E127">
        <v>0.6</v>
      </c>
      <c r="F127">
        <v>3.1</v>
      </c>
      <c r="H127" s="3">
        <f t="shared" si="18"/>
        <v>0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t="s">
        <v>8</v>
      </c>
      <c r="R127" t="s">
        <v>8</v>
      </c>
      <c r="S127" t="s">
        <v>8</v>
      </c>
      <c r="T127" t="s">
        <v>8</v>
      </c>
      <c r="U127" t="s">
        <v>8</v>
      </c>
      <c r="V127" t="s">
        <v>8</v>
      </c>
      <c r="W127" t="s">
        <v>8</v>
      </c>
      <c r="X127">
        <v>0</v>
      </c>
      <c r="Y127" t="s">
        <v>7</v>
      </c>
      <c r="Z127">
        <v>3.2</v>
      </c>
      <c r="AA127">
        <v>0.2</v>
      </c>
      <c r="AB127">
        <v>-0.3</v>
      </c>
      <c r="AC127">
        <v>0</v>
      </c>
    </row>
    <row r="128" spans="1:29" x14ac:dyDescent="0.25">
      <c r="A128">
        <v>127</v>
      </c>
      <c r="B128" t="s">
        <v>657</v>
      </c>
      <c r="C128" t="s">
        <v>16</v>
      </c>
      <c r="E128">
        <v>2.8</v>
      </c>
      <c r="F128">
        <v>2.8</v>
      </c>
      <c r="H128" s="3">
        <f t="shared" si="18"/>
        <v>0</v>
      </c>
      <c r="L128" t="s">
        <v>8</v>
      </c>
      <c r="M128">
        <v>2.8</v>
      </c>
      <c r="N128" t="s">
        <v>8</v>
      </c>
      <c r="O128" t="s">
        <v>8</v>
      </c>
      <c r="P128" t="s">
        <v>8</v>
      </c>
      <c r="Q128" t="s">
        <v>8</v>
      </c>
      <c r="R128" t="s">
        <v>8</v>
      </c>
      <c r="S128" t="s">
        <v>8</v>
      </c>
      <c r="T128" t="s">
        <v>8</v>
      </c>
      <c r="U128" t="s">
        <v>7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8</v>
      </c>
      <c r="AB128" t="s">
        <v>8</v>
      </c>
      <c r="AC128" t="s">
        <v>8</v>
      </c>
    </row>
    <row r="129" spans="1:29" x14ac:dyDescent="0.25">
      <c r="A129">
        <v>128</v>
      </c>
      <c r="B129" t="s">
        <v>541</v>
      </c>
      <c r="C129" t="s">
        <v>90</v>
      </c>
      <c r="E129">
        <v>0.6</v>
      </c>
      <c r="F129">
        <v>2.2000000000000002</v>
      </c>
      <c r="H129" s="3">
        <f t="shared" si="18"/>
        <v>0</v>
      </c>
      <c r="L129" t="s">
        <v>8</v>
      </c>
      <c r="M129" t="s">
        <v>8</v>
      </c>
      <c r="N129" t="s">
        <v>8</v>
      </c>
      <c r="O129" t="s">
        <v>8</v>
      </c>
      <c r="P129">
        <v>0.9</v>
      </c>
      <c r="Q129">
        <v>1.3</v>
      </c>
      <c r="R129">
        <v>0</v>
      </c>
      <c r="S129">
        <v>0</v>
      </c>
      <c r="T129" t="s">
        <v>8</v>
      </c>
      <c r="U129" t="s">
        <v>8</v>
      </c>
      <c r="V129" t="s">
        <v>8</v>
      </c>
      <c r="W129" t="s">
        <v>8</v>
      </c>
      <c r="X129" t="s">
        <v>8</v>
      </c>
      <c r="Y129" t="s">
        <v>8</v>
      </c>
      <c r="Z129" t="s">
        <v>8</v>
      </c>
      <c r="AA129" t="s">
        <v>8</v>
      </c>
      <c r="AB129" t="s">
        <v>8</v>
      </c>
      <c r="AC129" t="s">
        <v>8</v>
      </c>
    </row>
    <row r="130" spans="1:29" x14ac:dyDescent="0.25">
      <c r="A130">
        <v>129</v>
      </c>
      <c r="B130" t="s">
        <v>658</v>
      </c>
      <c r="C130" t="s">
        <v>90</v>
      </c>
      <c r="E130">
        <v>0.5</v>
      </c>
      <c r="F130">
        <v>2</v>
      </c>
      <c r="H130" s="3">
        <f t="shared" ref="H130:H159" si="19">COUNTIFS(L130:AC130,"&gt;=15",L130:AC130,"&lt;=99")</f>
        <v>0</v>
      </c>
      <c r="L130">
        <v>-0.3</v>
      </c>
      <c r="M130" t="s">
        <v>8</v>
      </c>
      <c r="N130">
        <v>0</v>
      </c>
      <c r="O130">
        <v>0</v>
      </c>
      <c r="P130">
        <v>2.2999999999999998</v>
      </c>
      <c r="Q130" t="s">
        <v>8</v>
      </c>
      <c r="R130" t="s">
        <v>8</v>
      </c>
      <c r="S130" t="s">
        <v>8</v>
      </c>
      <c r="T130" t="s">
        <v>8</v>
      </c>
      <c r="U130" t="s">
        <v>8</v>
      </c>
      <c r="V130" t="s">
        <v>8</v>
      </c>
      <c r="W130" t="s">
        <v>8</v>
      </c>
      <c r="X130" t="s">
        <v>8</v>
      </c>
      <c r="Y130" t="s">
        <v>8</v>
      </c>
      <c r="Z130" t="s">
        <v>8</v>
      </c>
      <c r="AA130" t="s">
        <v>8</v>
      </c>
      <c r="AB130" t="s">
        <v>8</v>
      </c>
      <c r="AC130" t="s">
        <v>8</v>
      </c>
    </row>
    <row r="131" spans="1:29" x14ac:dyDescent="0.25">
      <c r="A131">
        <v>130</v>
      </c>
      <c r="B131" t="s">
        <v>659</v>
      </c>
      <c r="C131" t="s">
        <v>53</v>
      </c>
      <c r="E131">
        <v>0.6</v>
      </c>
      <c r="F131">
        <v>1.9</v>
      </c>
      <c r="H131" s="3">
        <f t="shared" si="19"/>
        <v>0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  <c r="Q131" t="s">
        <v>8</v>
      </c>
      <c r="R131" t="s">
        <v>8</v>
      </c>
      <c r="S131" t="s">
        <v>8</v>
      </c>
      <c r="T131" t="s">
        <v>8</v>
      </c>
      <c r="U131" t="s">
        <v>7</v>
      </c>
      <c r="V131" t="s">
        <v>8</v>
      </c>
      <c r="W131" t="s">
        <v>8</v>
      </c>
      <c r="X131" t="s">
        <v>8</v>
      </c>
      <c r="Y131">
        <v>0.9</v>
      </c>
      <c r="Z131">
        <v>1</v>
      </c>
      <c r="AA131" t="s">
        <v>8</v>
      </c>
      <c r="AB131">
        <v>0</v>
      </c>
      <c r="AC131" t="s">
        <v>8</v>
      </c>
    </row>
    <row r="132" spans="1:29" x14ac:dyDescent="0.25">
      <c r="A132">
        <v>130</v>
      </c>
      <c r="B132" t="s">
        <v>660</v>
      </c>
      <c r="C132" t="s">
        <v>20</v>
      </c>
      <c r="E132">
        <v>1.9</v>
      </c>
      <c r="F132">
        <v>1.9</v>
      </c>
      <c r="H132" s="3">
        <f t="shared" si="19"/>
        <v>0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  <c r="Q132" t="s">
        <v>7</v>
      </c>
      <c r="R132" t="s">
        <v>8</v>
      </c>
      <c r="S132" t="s">
        <v>8</v>
      </c>
      <c r="T132" t="s">
        <v>8</v>
      </c>
      <c r="U132" t="s">
        <v>8</v>
      </c>
      <c r="V132" t="s">
        <v>8</v>
      </c>
      <c r="W132" t="s">
        <v>8</v>
      </c>
      <c r="X132" t="s">
        <v>8</v>
      </c>
      <c r="Y132" t="s">
        <v>8</v>
      </c>
      <c r="Z132" t="s">
        <v>8</v>
      </c>
      <c r="AA132" t="s">
        <v>8</v>
      </c>
      <c r="AB132" t="s">
        <v>8</v>
      </c>
      <c r="AC132">
        <v>1.9</v>
      </c>
    </row>
    <row r="133" spans="1:29" x14ac:dyDescent="0.25">
      <c r="A133">
        <v>132</v>
      </c>
      <c r="B133" t="s">
        <v>661</v>
      </c>
      <c r="C133" t="s">
        <v>97</v>
      </c>
      <c r="E133">
        <v>0.3</v>
      </c>
      <c r="F133">
        <v>1.8</v>
      </c>
      <c r="H133" s="3">
        <f t="shared" si="19"/>
        <v>0</v>
      </c>
      <c r="L133" t="s">
        <v>8</v>
      </c>
      <c r="M133" t="s">
        <v>8</v>
      </c>
      <c r="N133" t="s">
        <v>8</v>
      </c>
      <c r="O133" t="s">
        <v>8</v>
      </c>
      <c r="P133">
        <v>0</v>
      </c>
      <c r="Q133" t="s">
        <v>8</v>
      </c>
      <c r="R133">
        <v>0</v>
      </c>
      <c r="S133">
        <v>0</v>
      </c>
      <c r="T133">
        <v>0</v>
      </c>
      <c r="U133" t="s">
        <v>7</v>
      </c>
      <c r="V133" t="s">
        <v>8</v>
      </c>
      <c r="W133" t="s">
        <v>8</v>
      </c>
      <c r="X133" t="s">
        <v>8</v>
      </c>
      <c r="Y133" t="s">
        <v>8</v>
      </c>
      <c r="Z133" t="s">
        <v>8</v>
      </c>
      <c r="AA133" t="s">
        <v>8</v>
      </c>
      <c r="AB133">
        <v>0.6</v>
      </c>
      <c r="AC133">
        <v>1.2</v>
      </c>
    </row>
    <row r="134" spans="1:29" x14ac:dyDescent="0.25">
      <c r="A134">
        <v>133</v>
      </c>
      <c r="B134" t="s">
        <v>662</v>
      </c>
      <c r="C134" t="s">
        <v>90</v>
      </c>
      <c r="E134">
        <v>0.6</v>
      </c>
      <c r="F134">
        <v>1.7</v>
      </c>
      <c r="H134" s="3">
        <f t="shared" si="19"/>
        <v>0</v>
      </c>
      <c r="L134" t="s">
        <v>8</v>
      </c>
      <c r="M134" t="s">
        <v>8</v>
      </c>
      <c r="N134" t="s">
        <v>8</v>
      </c>
      <c r="O134">
        <v>0.5</v>
      </c>
      <c r="P134">
        <v>1.4</v>
      </c>
      <c r="Q134">
        <v>-0.2</v>
      </c>
      <c r="R134" t="s">
        <v>8</v>
      </c>
      <c r="S134" t="s">
        <v>8</v>
      </c>
      <c r="T134" t="s">
        <v>8</v>
      </c>
      <c r="U134" t="s">
        <v>8</v>
      </c>
      <c r="V134" t="s">
        <v>8</v>
      </c>
      <c r="W134" t="s">
        <v>8</v>
      </c>
      <c r="X134" t="s">
        <v>8</v>
      </c>
      <c r="Y134" t="s">
        <v>8</v>
      </c>
      <c r="Z134" t="s">
        <v>8</v>
      </c>
      <c r="AA134" t="s">
        <v>8</v>
      </c>
      <c r="AB134" t="s">
        <v>8</v>
      </c>
      <c r="AC134" t="s">
        <v>8</v>
      </c>
    </row>
    <row r="135" spans="1:29" x14ac:dyDescent="0.25">
      <c r="A135">
        <v>134</v>
      </c>
      <c r="B135" t="s">
        <v>663</v>
      </c>
      <c r="C135" t="s">
        <v>90</v>
      </c>
      <c r="E135">
        <v>0.6</v>
      </c>
      <c r="F135">
        <v>1.1000000000000001</v>
      </c>
      <c r="H135" s="3">
        <f t="shared" si="19"/>
        <v>0</v>
      </c>
      <c r="L135">
        <v>0</v>
      </c>
      <c r="M135" t="s">
        <v>8</v>
      </c>
      <c r="N135" t="s">
        <v>8</v>
      </c>
      <c r="O135">
        <v>1.1000000000000001</v>
      </c>
      <c r="P135" t="s">
        <v>8</v>
      </c>
      <c r="Q135" t="s">
        <v>8</v>
      </c>
      <c r="R135" t="s">
        <v>8</v>
      </c>
      <c r="S135" t="s">
        <v>8</v>
      </c>
      <c r="T135" t="s">
        <v>8</v>
      </c>
      <c r="U135" t="s">
        <v>8</v>
      </c>
      <c r="V135" t="s">
        <v>8</v>
      </c>
      <c r="W135" t="s">
        <v>8</v>
      </c>
      <c r="X135" t="s">
        <v>8</v>
      </c>
      <c r="Y135" t="s">
        <v>8</v>
      </c>
      <c r="Z135" t="s">
        <v>8</v>
      </c>
      <c r="AA135" t="s">
        <v>8</v>
      </c>
      <c r="AB135" t="s">
        <v>8</v>
      </c>
      <c r="AC135" t="s">
        <v>8</v>
      </c>
    </row>
    <row r="136" spans="1:29" x14ac:dyDescent="0.25">
      <c r="A136">
        <v>135</v>
      </c>
      <c r="B136" t="s">
        <v>531</v>
      </c>
      <c r="C136" t="s">
        <v>90</v>
      </c>
      <c r="E136">
        <v>0.7</v>
      </c>
      <c r="F136">
        <v>0.7</v>
      </c>
      <c r="H136" s="3">
        <f t="shared" si="19"/>
        <v>0</v>
      </c>
      <c r="L136" t="s">
        <v>8</v>
      </c>
      <c r="M136" t="s">
        <v>8</v>
      </c>
      <c r="N136" t="s">
        <v>8</v>
      </c>
      <c r="O136" t="s">
        <v>8</v>
      </c>
      <c r="P136" t="s">
        <v>8</v>
      </c>
      <c r="Q136" t="s">
        <v>8</v>
      </c>
      <c r="R136" t="s">
        <v>8</v>
      </c>
      <c r="S136" t="s">
        <v>8</v>
      </c>
      <c r="T136" t="s">
        <v>8</v>
      </c>
      <c r="U136" t="s">
        <v>8</v>
      </c>
      <c r="V136" t="s">
        <v>8</v>
      </c>
      <c r="W136" t="s">
        <v>8</v>
      </c>
      <c r="X136" t="s">
        <v>8</v>
      </c>
      <c r="Y136" t="s">
        <v>8</v>
      </c>
      <c r="Z136" t="s">
        <v>8</v>
      </c>
      <c r="AA136" t="s">
        <v>8</v>
      </c>
      <c r="AB136">
        <v>0.7</v>
      </c>
      <c r="AC136" t="s">
        <v>8</v>
      </c>
    </row>
    <row r="137" spans="1:29" x14ac:dyDescent="0.25">
      <c r="A137">
        <v>135</v>
      </c>
      <c r="B137" t="s">
        <v>542</v>
      </c>
      <c r="C137" t="s">
        <v>22</v>
      </c>
      <c r="E137">
        <v>0.1</v>
      </c>
      <c r="F137">
        <v>0.7</v>
      </c>
      <c r="H137" s="3">
        <f t="shared" si="19"/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8</v>
      </c>
      <c r="S137">
        <v>0</v>
      </c>
      <c r="T137" t="s">
        <v>8</v>
      </c>
      <c r="U137" t="s">
        <v>8</v>
      </c>
      <c r="V137">
        <v>0</v>
      </c>
      <c r="W137" t="s">
        <v>7</v>
      </c>
      <c r="X137">
        <v>0</v>
      </c>
      <c r="Y137">
        <v>0</v>
      </c>
      <c r="Z137">
        <v>0</v>
      </c>
      <c r="AA137">
        <v>0</v>
      </c>
      <c r="AB137">
        <v>0.3</v>
      </c>
      <c r="AC137">
        <v>0.4</v>
      </c>
    </row>
    <row r="138" spans="1:29" x14ac:dyDescent="0.25">
      <c r="A138">
        <v>137</v>
      </c>
      <c r="B138" t="s">
        <v>517</v>
      </c>
      <c r="C138" t="s">
        <v>90</v>
      </c>
      <c r="E138">
        <v>0.4</v>
      </c>
      <c r="F138">
        <v>0.4</v>
      </c>
      <c r="H138" s="3">
        <f t="shared" si="19"/>
        <v>0</v>
      </c>
      <c r="L138" t="s">
        <v>8</v>
      </c>
      <c r="M138" t="s">
        <v>8</v>
      </c>
      <c r="N138" t="s">
        <v>8</v>
      </c>
      <c r="O138" t="s">
        <v>8</v>
      </c>
      <c r="P138" t="s">
        <v>8</v>
      </c>
      <c r="Q138" t="s">
        <v>8</v>
      </c>
      <c r="R138" t="s">
        <v>8</v>
      </c>
      <c r="S138" t="s">
        <v>8</v>
      </c>
      <c r="T138" t="s">
        <v>8</v>
      </c>
      <c r="U138" t="s">
        <v>8</v>
      </c>
      <c r="V138" t="s">
        <v>8</v>
      </c>
      <c r="W138" t="s">
        <v>8</v>
      </c>
      <c r="X138" t="s">
        <v>8</v>
      </c>
      <c r="Y138">
        <v>0.4</v>
      </c>
      <c r="Z138" t="s">
        <v>8</v>
      </c>
      <c r="AA138" t="s">
        <v>8</v>
      </c>
      <c r="AB138" t="s">
        <v>8</v>
      </c>
      <c r="AC138" t="s">
        <v>8</v>
      </c>
    </row>
    <row r="139" spans="1:29" x14ac:dyDescent="0.25">
      <c r="A139">
        <v>138</v>
      </c>
      <c r="B139" t="s">
        <v>490</v>
      </c>
      <c r="C139" t="s">
        <v>22</v>
      </c>
      <c r="E139">
        <v>0.2</v>
      </c>
      <c r="F139">
        <v>0.3</v>
      </c>
      <c r="H139" s="3">
        <f t="shared" si="19"/>
        <v>0</v>
      </c>
      <c r="L139" t="s">
        <v>8</v>
      </c>
      <c r="M139" t="s">
        <v>8</v>
      </c>
      <c r="N139" t="s">
        <v>8</v>
      </c>
      <c r="O139" t="s">
        <v>8</v>
      </c>
      <c r="P139">
        <v>0</v>
      </c>
      <c r="Q139" t="s">
        <v>8</v>
      </c>
      <c r="R139" t="s">
        <v>8</v>
      </c>
      <c r="S139" t="s">
        <v>8</v>
      </c>
      <c r="T139" t="s">
        <v>8</v>
      </c>
      <c r="U139" t="s">
        <v>8</v>
      </c>
      <c r="V139" t="s">
        <v>8</v>
      </c>
      <c r="W139" t="s">
        <v>7</v>
      </c>
      <c r="X139" t="s">
        <v>8</v>
      </c>
      <c r="Y139">
        <v>0.3</v>
      </c>
      <c r="Z139" t="s">
        <v>8</v>
      </c>
      <c r="AA139" t="s">
        <v>8</v>
      </c>
      <c r="AB139" t="s">
        <v>8</v>
      </c>
      <c r="AC139" t="s">
        <v>8</v>
      </c>
    </row>
    <row r="140" spans="1:29" x14ac:dyDescent="0.25">
      <c r="A140">
        <v>139</v>
      </c>
      <c r="B140" t="s">
        <v>472</v>
      </c>
      <c r="C140" t="s">
        <v>90</v>
      </c>
      <c r="E140">
        <v>0.1</v>
      </c>
      <c r="F140">
        <v>0.2</v>
      </c>
      <c r="H140" s="3">
        <f t="shared" si="19"/>
        <v>0</v>
      </c>
      <c r="L140" t="s">
        <v>8</v>
      </c>
      <c r="M140" t="s">
        <v>8</v>
      </c>
      <c r="N140" t="s">
        <v>8</v>
      </c>
      <c r="O140" t="s">
        <v>8</v>
      </c>
      <c r="P140" t="s">
        <v>8</v>
      </c>
      <c r="Q140" t="s">
        <v>8</v>
      </c>
      <c r="R140" t="s">
        <v>8</v>
      </c>
      <c r="S140" t="s">
        <v>8</v>
      </c>
      <c r="T140" t="s">
        <v>8</v>
      </c>
      <c r="U140" t="s">
        <v>8</v>
      </c>
      <c r="V140" t="s">
        <v>8</v>
      </c>
      <c r="W140">
        <v>0</v>
      </c>
      <c r="X140" t="s">
        <v>8</v>
      </c>
      <c r="Y140" t="s">
        <v>8</v>
      </c>
      <c r="Z140" t="s">
        <v>8</v>
      </c>
      <c r="AA140" t="s">
        <v>8</v>
      </c>
      <c r="AB140" t="s">
        <v>8</v>
      </c>
      <c r="AC140">
        <v>0.2</v>
      </c>
    </row>
    <row r="141" spans="1:29" x14ac:dyDescent="0.25">
      <c r="A141">
        <v>139</v>
      </c>
      <c r="B141" t="s">
        <v>664</v>
      </c>
      <c r="C141" t="s">
        <v>32</v>
      </c>
      <c r="E141">
        <v>0.1</v>
      </c>
      <c r="F141">
        <v>0.2</v>
      </c>
      <c r="H141" s="3">
        <f t="shared" si="19"/>
        <v>0</v>
      </c>
      <c r="L141">
        <v>0</v>
      </c>
      <c r="M141" t="s">
        <v>8</v>
      </c>
      <c r="N141">
        <v>0.2</v>
      </c>
      <c r="O141">
        <v>0</v>
      </c>
      <c r="P141" t="s">
        <v>8</v>
      </c>
      <c r="Q141" t="s">
        <v>8</v>
      </c>
      <c r="R141" t="s">
        <v>8</v>
      </c>
      <c r="S141" t="s">
        <v>8</v>
      </c>
      <c r="T141" t="s">
        <v>8</v>
      </c>
      <c r="U141" t="s">
        <v>8</v>
      </c>
      <c r="V141" t="s">
        <v>8</v>
      </c>
      <c r="W141" t="s">
        <v>8</v>
      </c>
      <c r="X141" t="s">
        <v>8</v>
      </c>
      <c r="Y141" t="s">
        <v>7</v>
      </c>
      <c r="Z141" t="s">
        <v>8</v>
      </c>
      <c r="AA141" t="s">
        <v>8</v>
      </c>
      <c r="AB141" t="s">
        <v>8</v>
      </c>
      <c r="AC141" t="s">
        <v>8</v>
      </c>
    </row>
    <row r="142" spans="1:29" x14ac:dyDescent="0.25">
      <c r="A142">
        <v>141</v>
      </c>
      <c r="B142" t="s">
        <v>665</v>
      </c>
      <c r="C142" t="s">
        <v>10</v>
      </c>
      <c r="E142">
        <v>0</v>
      </c>
      <c r="F142">
        <v>0</v>
      </c>
      <c r="H142" s="3">
        <f t="shared" si="19"/>
        <v>0</v>
      </c>
      <c r="L142" t="s">
        <v>8</v>
      </c>
      <c r="M142" t="s">
        <v>8</v>
      </c>
      <c r="N142" t="s">
        <v>8</v>
      </c>
      <c r="O142" t="s">
        <v>8</v>
      </c>
      <c r="P142" t="s">
        <v>7</v>
      </c>
      <c r="Q142">
        <v>0</v>
      </c>
      <c r="R142" t="s">
        <v>8</v>
      </c>
      <c r="S142" t="s">
        <v>8</v>
      </c>
      <c r="T142" t="s">
        <v>8</v>
      </c>
      <c r="U142" t="s">
        <v>8</v>
      </c>
      <c r="V142" t="s">
        <v>8</v>
      </c>
      <c r="W142" t="s">
        <v>8</v>
      </c>
      <c r="X142" t="s">
        <v>8</v>
      </c>
      <c r="Y142" t="s">
        <v>8</v>
      </c>
      <c r="Z142" t="s">
        <v>8</v>
      </c>
      <c r="AA142" t="s">
        <v>8</v>
      </c>
      <c r="AB142" t="s">
        <v>8</v>
      </c>
      <c r="AC142" t="s">
        <v>8</v>
      </c>
    </row>
    <row r="143" spans="1:29" x14ac:dyDescent="0.25">
      <c r="A143">
        <v>141</v>
      </c>
      <c r="B143" t="s">
        <v>522</v>
      </c>
      <c r="C143" t="s">
        <v>90</v>
      </c>
      <c r="E143">
        <v>0</v>
      </c>
      <c r="F143">
        <v>0</v>
      </c>
      <c r="H143" s="3">
        <f t="shared" si="19"/>
        <v>0</v>
      </c>
      <c r="L143">
        <v>0</v>
      </c>
      <c r="M143" t="s">
        <v>8</v>
      </c>
      <c r="N143" t="s">
        <v>8</v>
      </c>
      <c r="O143" t="s">
        <v>8</v>
      </c>
      <c r="P143" t="s">
        <v>8</v>
      </c>
      <c r="Q143">
        <v>0</v>
      </c>
      <c r="R143" t="s">
        <v>8</v>
      </c>
      <c r="S143" t="s">
        <v>8</v>
      </c>
      <c r="T143" t="s">
        <v>8</v>
      </c>
      <c r="U143" t="s">
        <v>8</v>
      </c>
      <c r="V143" t="s">
        <v>8</v>
      </c>
      <c r="W143" t="s">
        <v>8</v>
      </c>
      <c r="X143" t="s">
        <v>8</v>
      </c>
      <c r="Y143">
        <v>0</v>
      </c>
      <c r="Z143" t="s">
        <v>8</v>
      </c>
      <c r="AA143">
        <v>0</v>
      </c>
      <c r="AB143" t="s">
        <v>8</v>
      </c>
      <c r="AC143" t="s">
        <v>8</v>
      </c>
    </row>
    <row r="144" spans="1:29" x14ac:dyDescent="0.25">
      <c r="A144">
        <v>141</v>
      </c>
      <c r="B144" t="s">
        <v>535</v>
      </c>
      <c r="C144" t="s">
        <v>32</v>
      </c>
      <c r="E144">
        <v>0</v>
      </c>
      <c r="F144">
        <v>0</v>
      </c>
      <c r="H144" s="3">
        <f t="shared" si="19"/>
        <v>0</v>
      </c>
      <c r="L144" t="s">
        <v>8</v>
      </c>
      <c r="M144">
        <v>0</v>
      </c>
      <c r="N144">
        <v>0</v>
      </c>
      <c r="O144">
        <v>0</v>
      </c>
      <c r="P144" t="s">
        <v>8</v>
      </c>
      <c r="Q144" t="s">
        <v>8</v>
      </c>
      <c r="R144" t="s">
        <v>8</v>
      </c>
      <c r="S144" t="s">
        <v>8</v>
      </c>
      <c r="T144" t="s">
        <v>8</v>
      </c>
      <c r="U144" t="s">
        <v>8</v>
      </c>
      <c r="V144" t="s">
        <v>8</v>
      </c>
      <c r="W144" t="s">
        <v>8</v>
      </c>
      <c r="X144" t="s">
        <v>8</v>
      </c>
      <c r="Y144" t="s">
        <v>7</v>
      </c>
      <c r="Z144" t="s">
        <v>8</v>
      </c>
      <c r="AA144" t="s">
        <v>8</v>
      </c>
      <c r="AB144" t="s">
        <v>8</v>
      </c>
      <c r="AC144" t="s">
        <v>8</v>
      </c>
    </row>
    <row r="145" spans="1:29" x14ac:dyDescent="0.25">
      <c r="A145">
        <v>141</v>
      </c>
      <c r="B145" t="s">
        <v>506</v>
      </c>
      <c r="C145" t="s">
        <v>90</v>
      </c>
      <c r="E145">
        <v>0</v>
      </c>
      <c r="F145">
        <v>0</v>
      </c>
      <c r="H145" s="3">
        <f t="shared" si="19"/>
        <v>0</v>
      </c>
      <c r="L145" t="s">
        <v>8</v>
      </c>
      <c r="M145">
        <v>0</v>
      </c>
      <c r="N145">
        <v>0</v>
      </c>
      <c r="O145">
        <v>0</v>
      </c>
      <c r="P145" t="s">
        <v>8</v>
      </c>
      <c r="Q145" t="s">
        <v>8</v>
      </c>
      <c r="R145" t="s">
        <v>8</v>
      </c>
      <c r="S145" t="s">
        <v>8</v>
      </c>
      <c r="T145">
        <v>0</v>
      </c>
      <c r="U145">
        <v>0</v>
      </c>
      <c r="V145" t="s">
        <v>8</v>
      </c>
      <c r="W145" t="s">
        <v>8</v>
      </c>
      <c r="X145" t="s">
        <v>8</v>
      </c>
      <c r="Y145" t="s">
        <v>8</v>
      </c>
      <c r="Z145" t="s">
        <v>8</v>
      </c>
      <c r="AA145">
        <v>0</v>
      </c>
      <c r="AB145">
        <v>0</v>
      </c>
      <c r="AC145">
        <v>0</v>
      </c>
    </row>
    <row r="146" spans="1:29" x14ac:dyDescent="0.25">
      <c r="A146">
        <v>141</v>
      </c>
      <c r="B146" t="s">
        <v>666</v>
      </c>
      <c r="C146" t="s">
        <v>6</v>
      </c>
      <c r="E146">
        <v>0</v>
      </c>
      <c r="F146">
        <v>0</v>
      </c>
      <c r="H146" s="3">
        <f t="shared" si="19"/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25">
      <c r="A147">
        <v>141</v>
      </c>
      <c r="B147" t="s">
        <v>667</v>
      </c>
      <c r="C147" t="s">
        <v>6</v>
      </c>
      <c r="E147">
        <v>0</v>
      </c>
      <c r="F147">
        <v>0</v>
      </c>
      <c r="H147" s="3">
        <f t="shared" si="19"/>
        <v>0</v>
      </c>
      <c r="L147" t="s">
        <v>8</v>
      </c>
      <c r="M147" t="s">
        <v>8</v>
      </c>
      <c r="N147" t="s">
        <v>8</v>
      </c>
      <c r="O147" t="s">
        <v>8</v>
      </c>
      <c r="P147" t="s">
        <v>7</v>
      </c>
      <c r="Q147" t="s">
        <v>8</v>
      </c>
      <c r="R147" t="s">
        <v>8</v>
      </c>
      <c r="S147" t="s">
        <v>8</v>
      </c>
      <c r="T147" t="s">
        <v>8</v>
      </c>
      <c r="U147" t="s">
        <v>8</v>
      </c>
      <c r="V147" t="s">
        <v>8</v>
      </c>
      <c r="W147" t="s">
        <v>8</v>
      </c>
      <c r="X147" t="s">
        <v>8</v>
      </c>
      <c r="Y147">
        <v>0</v>
      </c>
      <c r="Z147" t="s">
        <v>8</v>
      </c>
      <c r="AA147" t="s">
        <v>8</v>
      </c>
      <c r="AB147">
        <v>0</v>
      </c>
      <c r="AC147">
        <v>0</v>
      </c>
    </row>
    <row r="148" spans="1:29" x14ac:dyDescent="0.25">
      <c r="A148">
        <v>141</v>
      </c>
      <c r="B148" t="s">
        <v>504</v>
      </c>
      <c r="C148" t="s">
        <v>62</v>
      </c>
      <c r="E148">
        <v>0</v>
      </c>
      <c r="F148">
        <v>0</v>
      </c>
      <c r="H148" s="3">
        <f t="shared" si="19"/>
        <v>0</v>
      </c>
      <c r="L148" t="s">
        <v>8</v>
      </c>
      <c r="M148" t="s">
        <v>8</v>
      </c>
      <c r="N148">
        <v>0</v>
      </c>
      <c r="O148" t="s">
        <v>8</v>
      </c>
      <c r="P148" t="s">
        <v>8</v>
      </c>
      <c r="Q148" t="s">
        <v>7</v>
      </c>
      <c r="R148" t="s">
        <v>8</v>
      </c>
      <c r="S148" t="s">
        <v>8</v>
      </c>
      <c r="T148" t="s">
        <v>8</v>
      </c>
      <c r="U148" t="s">
        <v>8</v>
      </c>
      <c r="V148" t="s">
        <v>8</v>
      </c>
      <c r="W148" t="s">
        <v>8</v>
      </c>
      <c r="X148" t="s">
        <v>8</v>
      </c>
      <c r="Y148" t="s">
        <v>8</v>
      </c>
      <c r="Z148" t="s">
        <v>8</v>
      </c>
      <c r="AA148" t="s">
        <v>8</v>
      </c>
      <c r="AB148" t="s">
        <v>8</v>
      </c>
      <c r="AC148" t="s">
        <v>8</v>
      </c>
    </row>
    <row r="149" spans="1:29" x14ac:dyDescent="0.25">
      <c r="A149">
        <v>141</v>
      </c>
      <c r="B149" t="s">
        <v>668</v>
      </c>
      <c r="C149" t="s">
        <v>45</v>
      </c>
      <c r="E149">
        <v>0</v>
      </c>
      <c r="F149">
        <v>0</v>
      </c>
      <c r="H149" s="3">
        <f t="shared" si="19"/>
        <v>0</v>
      </c>
      <c r="L149" t="s">
        <v>8</v>
      </c>
      <c r="M149" t="s">
        <v>8</v>
      </c>
      <c r="N149" t="s">
        <v>8</v>
      </c>
      <c r="O149" t="s">
        <v>8</v>
      </c>
      <c r="P149" t="s">
        <v>7</v>
      </c>
      <c r="Q149" t="s">
        <v>8</v>
      </c>
      <c r="R149" t="s">
        <v>8</v>
      </c>
      <c r="S149" t="s">
        <v>8</v>
      </c>
      <c r="T149" t="s">
        <v>8</v>
      </c>
      <c r="U149" t="s">
        <v>8</v>
      </c>
      <c r="V149" t="s">
        <v>8</v>
      </c>
      <c r="W149" t="s">
        <v>8</v>
      </c>
      <c r="X149" t="s">
        <v>8</v>
      </c>
      <c r="Y149">
        <v>0</v>
      </c>
      <c r="Z149" t="s">
        <v>8</v>
      </c>
      <c r="AA149" t="s">
        <v>8</v>
      </c>
      <c r="AB149">
        <v>0</v>
      </c>
      <c r="AC149" t="s">
        <v>8</v>
      </c>
    </row>
    <row r="150" spans="1:29" x14ac:dyDescent="0.25">
      <c r="A150">
        <v>141</v>
      </c>
      <c r="B150" t="s">
        <v>669</v>
      </c>
      <c r="C150" t="s">
        <v>90</v>
      </c>
      <c r="E150">
        <v>0</v>
      </c>
      <c r="F150">
        <v>0</v>
      </c>
      <c r="H150" s="3">
        <f t="shared" si="19"/>
        <v>0</v>
      </c>
      <c r="L150" t="s">
        <v>8</v>
      </c>
      <c r="M150">
        <v>0</v>
      </c>
      <c r="N150" t="s">
        <v>8</v>
      </c>
      <c r="O150" t="s">
        <v>8</v>
      </c>
      <c r="P150" t="s">
        <v>8</v>
      </c>
      <c r="Q150" t="s">
        <v>8</v>
      </c>
      <c r="R150" t="s">
        <v>8</v>
      </c>
      <c r="S150" t="s">
        <v>8</v>
      </c>
      <c r="T150" t="s">
        <v>8</v>
      </c>
      <c r="U150" t="s">
        <v>8</v>
      </c>
      <c r="V150" t="s">
        <v>8</v>
      </c>
      <c r="W150" t="s">
        <v>8</v>
      </c>
      <c r="X150" t="s">
        <v>8</v>
      </c>
      <c r="Y150" t="s">
        <v>8</v>
      </c>
      <c r="Z150" t="s">
        <v>8</v>
      </c>
      <c r="AA150" t="s">
        <v>8</v>
      </c>
      <c r="AB150" t="s">
        <v>8</v>
      </c>
      <c r="AC150" t="s">
        <v>8</v>
      </c>
    </row>
    <row r="151" spans="1:29" x14ac:dyDescent="0.25">
      <c r="A151">
        <v>141</v>
      </c>
      <c r="B151" t="s">
        <v>513</v>
      </c>
      <c r="C151" t="s">
        <v>30</v>
      </c>
      <c r="E151">
        <v>0</v>
      </c>
      <c r="F151">
        <v>0</v>
      </c>
      <c r="H151" s="3">
        <f t="shared" si="19"/>
        <v>0</v>
      </c>
      <c r="L151" t="s">
        <v>8</v>
      </c>
      <c r="M151" t="s">
        <v>8</v>
      </c>
      <c r="N151" t="s">
        <v>8</v>
      </c>
      <c r="O151">
        <v>0</v>
      </c>
      <c r="P151" t="s">
        <v>8</v>
      </c>
      <c r="Q151" t="s">
        <v>8</v>
      </c>
      <c r="R151" t="s">
        <v>8</v>
      </c>
      <c r="S151" t="s">
        <v>8</v>
      </c>
      <c r="T151" t="s">
        <v>8</v>
      </c>
      <c r="U151" t="s">
        <v>8</v>
      </c>
      <c r="V151" t="s">
        <v>8</v>
      </c>
      <c r="W151" t="s">
        <v>7</v>
      </c>
      <c r="X151" t="s">
        <v>8</v>
      </c>
      <c r="Y151" t="s">
        <v>8</v>
      </c>
      <c r="Z151" t="s">
        <v>8</v>
      </c>
      <c r="AA151" t="s">
        <v>8</v>
      </c>
      <c r="AB151" t="s">
        <v>8</v>
      </c>
      <c r="AC151" t="s">
        <v>8</v>
      </c>
    </row>
    <row r="152" spans="1:29" x14ac:dyDescent="0.25">
      <c r="A152">
        <v>141</v>
      </c>
      <c r="B152" t="s">
        <v>670</v>
      </c>
      <c r="C152" t="s">
        <v>30</v>
      </c>
      <c r="E152">
        <v>0</v>
      </c>
      <c r="F152">
        <v>0</v>
      </c>
      <c r="H152" s="3">
        <f t="shared" si="19"/>
        <v>0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  <c r="Q152" t="s">
        <v>8</v>
      </c>
      <c r="R152" t="s">
        <v>8</v>
      </c>
      <c r="S152" t="s">
        <v>8</v>
      </c>
      <c r="T152">
        <v>0</v>
      </c>
      <c r="U152" t="s">
        <v>8</v>
      </c>
      <c r="V152" t="s">
        <v>8</v>
      </c>
      <c r="W152" t="s">
        <v>7</v>
      </c>
      <c r="X152" t="s">
        <v>8</v>
      </c>
      <c r="Y152" t="s">
        <v>8</v>
      </c>
      <c r="Z152" t="s">
        <v>8</v>
      </c>
      <c r="AA152" t="s">
        <v>8</v>
      </c>
      <c r="AB152" t="s">
        <v>8</v>
      </c>
      <c r="AC152">
        <v>0</v>
      </c>
    </row>
    <row r="153" spans="1:29" x14ac:dyDescent="0.25">
      <c r="A153">
        <v>141</v>
      </c>
      <c r="B153" t="s">
        <v>540</v>
      </c>
      <c r="C153" t="s">
        <v>78</v>
      </c>
      <c r="E153">
        <v>0</v>
      </c>
      <c r="F153">
        <v>0</v>
      </c>
      <c r="H153" s="3">
        <f t="shared" si="19"/>
        <v>0</v>
      </c>
      <c r="L153" t="s">
        <v>8</v>
      </c>
      <c r="M153" t="s">
        <v>8</v>
      </c>
      <c r="N153" t="s">
        <v>8</v>
      </c>
      <c r="O153" t="s">
        <v>8</v>
      </c>
      <c r="P153" t="s">
        <v>8</v>
      </c>
      <c r="Q153" t="s">
        <v>8</v>
      </c>
      <c r="R153">
        <v>0</v>
      </c>
      <c r="S153" t="s">
        <v>8</v>
      </c>
      <c r="T153" t="s">
        <v>7</v>
      </c>
      <c r="U153" t="s">
        <v>8</v>
      </c>
      <c r="V153" t="s">
        <v>8</v>
      </c>
      <c r="W153" t="s">
        <v>8</v>
      </c>
      <c r="X153" t="s">
        <v>8</v>
      </c>
      <c r="Y153" t="s">
        <v>8</v>
      </c>
      <c r="Z153" t="s">
        <v>8</v>
      </c>
      <c r="AA153" t="s">
        <v>8</v>
      </c>
      <c r="AB153" t="s">
        <v>8</v>
      </c>
      <c r="AC153" t="s">
        <v>8</v>
      </c>
    </row>
    <row r="154" spans="1:29" x14ac:dyDescent="0.25">
      <c r="A154">
        <v>141</v>
      </c>
      <c r="B154" t="s">
        <v>671</v>
      </c>
      <c r="C154" t="s">
        <v>69</v>
      </c>
      <c r="E154">
        <v>0</v>
      </c>
      <c r="F154">
        <v>0</v>
      </c>
      <c r="H154" s="3">
        <f t="shared" si="19"/>
        <v>0</v>
      </c>
      <c r="L154" t="s">
        <v>8</v>
      </c>
      <c r="M154" t="s">
        <v>8</v>
      </c>
      <c r="N154" t="s">
        <v>8</v>
      </c>
      <c r="O154" t="s">
        <v>8</v>
      </c>
      <c r="P154" t="s">
        <v>8</v>
      </c>
      <c r="Q154" t="s">
        <v>8</v>
      </c>
      <c r="R154">
        <v>0</v>
      </c>
      <c r="S154">
        <v>0</v>
      </c>
      <c r="T154" t="s">
        <v>8</v>
      </c>
      <c r="U154" t="s">
        <v>7</v>
      </c>
      <c r="V154" t="s">
        <v>8</v>
      </c>
      <c r="W154" t="s">
        <v>8</v>
      </c>
      <c r="X154" t="s">
        <v>8</v>
      </c>
      <c r="Y154" t="s">
        <v>8</v>
      </c>
      <c r="Z154" t="s">
        <v>8</v>
      </c>
      <c r="AA154" t="s">
        <v>8</v>
      </c>
      <c r="AB154" t="s">
        <v>8</v>
      </c>
      <c r="AC154" t="s">
        <v>8</v>
      </c>
    </row>
    <row r="155" spans="1:29" x14ac:dyDescent="0.25">
      <c r="A155">
        <v>141</v>
      </c>
      <c r="B155" t="s">
        <v>672</v>
      </c>
      <c r="C155" t="s">
        <v>55</v>
      </c>
      <c r="E155">
        <v>0</v>
      </c>
      <c r="F155">
        <v>0</v>
      </c>
      <c r="H155" s="3">
        <f t="shared" si="19"/>
        <v>0</v>
      </c>
      <c r="L155" t="s">
        <v>8</v>
      </c>
      <c r="M155" t="s">
        <v>8</v>
      </c>
      <c r="N155" t="s">
        <v>8</v>
      </c>
      <c r="O155" t="s">
        <v>8</v>
      </c>
      <c r="P155">
        <v>0</v>
      </c>
      <c r="Q155">
        <v>0</v>
      </c>
      <c r="R155" t="s">
        <v>8</v>
      </c>
      <c r="S155" t="s">
        <v>8</v>
      </c>
      <c r="T155" t="s">
        <v>8</v>
      </c>
      <c r="U155" t="s">
        <v>8</v>
      </c>
      <c r="V155" t="s">
        <v>7</v>
      </c>
      <c r="W155" t="s">
        <v>8</v>
      </c>
      <c r="X155" t="s">
        <v>8</v>
      </c>
      <c r="Y155" t="s">
        <v>8</v>
      </c>
      <c r="Z155" t="s">
        <v>8</v>
      </c>
      <c r="AA155" t="s">
        <v>8</v>
      </c>
      <c r="AB155" t="s">
        <v>8</v>
      </c>
      <c r="AC155" t="s">
        <v>8</v>
      </c>
    </row>
    <row r="156" spans="1:29" x14ac:dyDescent="0.25">
      <c r="A156">
        <v>141</v>
      </c>
      <c r="B156" t="s">
        <v>673</v>
      </c>
      <c r="C156" t="s">
        <v>34</v>
      </c>
      <c r="E156">
        <v>0</v>
      </c>
      <c r="F156">
        <v>0</v>
      </c>
      <c r="H156" s="3">
        <f t="shared" si="19"/>
        <v>0</v>
      </c>
      <c r="L156" t="s">
        <v>8</v>
      </c>
      <c r="M156" t="s">
        <v>8</v>
      </c>
      <c r="N156" t="s">
        <v>8</v>
      </c>
      <c r="O156" t="s">
        <v>8</v>
      </c>
      <c r="P156" t="s">
        <v>8</v>
      </c>
      <c r="Q156">
        <v>0</v>
      </c>
      <c r="R156" t="s">
        <v>8</v>
      </c>
      <c r="S156" t="s">
        <v>8</v>
      </c>
      <c r="T156" t="s">
        <v>8</v>
      </c>
      <c r="U156" t="s">
        <v>8</v>
      </c>
      <c r="V156" t="s">
        <v>7</v>
      </c>
      <c r="W156" t="s">
        <v>8</v>
      </c>
      <c r="X156" t="s">
        <v>8</v>
      </c>
      <c r="Y156" t="s">
        <v>8</v>
      </c>
      <c r="Z156" t="s">
        <v>8</v>
      </c>
      <c r="AA156" t="s">
        <v>8</v>
      </c>
      <c r="AB156" t="s">
        <v>8</v>
      </c>
      <c r="AC156" t="s">
        <v>8</v>
      </c>
    </row>
    <row r="157" spans="1:29" x14ac:dyDescent="0.25">
      <c r="A157">
        <v>141</v>
      </c>
      <c r="B157" t="s">
        <v>503</v>
      </c>
      <c r="C157" t="s">
        <v>90</v>
      </c>
      <c r="E157">
        <v>0</v>
      </c>
      <c r="F157">
        <v>0</v>
      </c>
      <c r="H157" s="3">
        <f t="shared" si="19"/>
        <v>0</v>
      </c>
      <c r="L157" t="s">
        <v>8</v>
      </c>
      <c r="M157" t="s">
        <v>8</v>
      </c>
      <c r="N157" t="s">
        <v>8</v>
      </c>
      <c r="O157" t="s">
        <v>8</v>
      </c>
      <c r="P157" t="s">
        <v>8</v>
      </c>
      <c r="Q157">
        <v>0</v>
      </c>
      <c r="R157" t="s">
        <v>8</v>
      </c>
      <c r="S157" t="s">
        <v>8</v>
      </c>
      <c r="T157" t="s">
        <v>8</v>
      </c>
      <c r="U157" t="s">
        <v>8</v>
      </c>
      <c r="V157" t="s">
        <v>8</v>
      </c>
      <c r="W157" t="s">
        <v>8</v>
      </c>
      <c r="X157" t="s">
        <v>8</v>
      </c>
      <c r="Y157" t="s">
        <v>8</v>
      </c>
      <c r="Z157" t="s">
        <v>8</v>
      </c>
      <c r="AA157" t="s">
        <v>8</v>
      </c>
      <c r="AB157" t="s">
        <v>8</v>
      </c>
      <c r="AC157" t="s">
        <v>8</v>
      </c>
    </row>
    <row r="158" spans="1:29" x14ac:dyDescent="0.25">
      <c r="A158">
        <v>141</v>
      </c>
      <c r="B158" t="s">
        <v>538</v>
      </c>
      <c r="C158" t="s">
        <v>90</v>
      </c>
      <c r="E158">
        <v>0</v>
      </c>
      <c r="F158">
        <v>0</v>
      </c>
      <c r="H158" s="3">
        <f t="shared" si="19"/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25">
      <c r="A159">
        <v>158</v>
      </c>
      <c r="B159" t="s">
        <v>674</v>
      </c>
      <c r="C159" t="s">
        <v>97</v>
      </c>
      <c r="E159">
        <v>-0.3</v>
      </c>
      <c r="F159">
        <v>-2</v>
      </c>
      <c r="H159" s="3">
        <f t="shared" si="19"/>
        <v>0</v>
      </c>
      <c r="L159" t="s">
        <v>8</v>
      </c>
      <c r="M159" t="s">
        <v>8</v>
      </c>
      <c r="N159" t="s">
        <v>8</v>
      </c>
      <c r="O159" t="s">
        <v>8</v>
      </c>
      <c r="P159" t="s">
        <v>8</v>
      </c>
      <c r="Q159">
        <v>-2</v>
      </c>
      <c r="R159" t="s">
        <v>8</v>
      </c>
      <c r="S159" t="s">
        <v>8</v>
      </c>
      <c r="T159" t="s">
        <v>8</v>
      </c>
      <c r="U159" t="s">
        <v>7</v>
      </c>
      <c r="V159" t="s">
        <v>8</v>
      </c>
      <c r="W159">
        <v>0</v>
      </c>
      <c r="X159">
        <v>0</v>
      </c>
      <c r="Y159" t="s">
        <v>8</v>
      </c>
      <c r="Z159">
        <v>0</v>
      </c>
      <c r="AA159" t="s">
        <v>8</v>
      </c>
      <c r="AB159">
        <v>0</v>
      </c>
      <c r="AC159">
        <v>0</v>
      </c>
    </row>
  </sheetData>
  <sortState xmlns:xlrd2="http://schemas.microsoft.com/office/spreadsheetml/2017/richdata2" ref="A2:AF159">
    <sortCondition descending="1" ref="D2:D159"/>
  </sortState>
  <conditionalFormatting sqref="L2:AC51">
    <cfRule type="cellIs" dxfId="28" priority="1" operator="lessThan">
      <formula>10.9</formula>
    </cfRule>
    <cfRule type="cellIs" dxfId="27" priority="2" operator="greaterThanOrEqual">
      <formula>10.9</formula>
    </cfRule>
  </conditionalFormatting>
  <conditionalFormatting sqref="AF37">
    <cfRule type="cellIs" dxfId="26" priority="3" operator="greaterThanOrEqual">
      <formula>10.9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6467-C093-4C8F-9D70-03D8AE3AB4D4}">
  <dimension ref="A1:AG26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0" sqref="A10"/>
    </sheetView>
  </sheetViews>
  <sheetFormatPr defaultColWidth="9.140625" defaultRowHeight="15" x14ac:dyDescent="0.25"/>
  <cols>
    <col min="1" max="1" width="4" style="4" bestFit="1" customWidth="1"/>
    <col min="2" max="2" width="24.42578125" style="5" bestFit="1" customWidth="1"/>
    <col min="3" max="3" width="5.85546875" style="4" bestFit="1" customWidth="1"/>
    <col min="4" max="4" width="5.85546875" style="4" customWidth="1"/>
    <col min="5" max="5" width="5" style="4" bestFit="1" customWidth="1"/>
    <col min="6" max="6" width="6" style="4" bestFit="1" customWidth="1"/>
    <col min="7" max="7" width="10.7109375" style="3" bestFit="1" customWidth="1"/>
    <col min="8" max="8" width="10.7109375" style="3" customWidth="1"/>
    <col min="9" max="10" width="10.7109375" style="3" bestFit="1" customWidth="1"/>
    <col min="11" max="11" width="13.85546875" style="3" bestFit="1" customWidth="1"/>
    <col min="12" max="29" width="5" style="4" bestFit="1" customWidth="1"/>
    <col min="30" max="31" width="9.140625" style="3"/>
    <col min="32" max="32" width="3" style="3" bestFit="1" customWidth="1"/>
    <col min="33" max="16384" width="9.140625" style="3"/>
  </cols>
  <sheetData>
    <row r="1" spans="1:29" s="2" customFormat="1" x14ac:dyDescent="0.25">
      <c r="A1" s="1" t="s">
        <v>0</v>
      </c>
      <c r="B1" s="1" t="s">
        <v>1</v>
      </c>
      <c r="C1" s="1" t="s">
        <v>2</v>
      </c>
      <c r="D1" s="1" t="s">
        <v>462</v>
      </c>
      <c r="E1" s="1" t="s">
        <v>3</v>
      </c>
      <c r="F1" s="1" t="s">
        <v>4</v>
      </c>
      <c r="G1" s="2" t="s">
        <v>113</v>
      </c>
      <c r="H1" s="2" t="s">
        <v>825</v>
      </c>
      <c r="I1" s="2" t="s">
        <v>114</v>
      </c>
      <c r="J1" s="2" t="s">
        <v>115</v>
      </c>
      <c r="K1" s="2" t="s">
        <v>112</v>
      </c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A1" s="1">
        <v>16</v>
      </c>
      <c r="AB1" s="1">
        <v>17</v>
      </c>
      <c r="AC1" s="1">
        <v>18</v>
      </c>
    </row>
    <row r="2" spans="1:29" x14ac:dyDescent="0.25">
      <c r="A2">
        <v>1</v>
      </c>
      <c r="B2" t="s">
        <v>116</v>
      </c>
      <c r="C2" t="s">
        <v>30</v>
      </c>
      <c r="D2" s="6">
        <f t="shared" ref="D2:D65" si="0">MEDIAN(L2:AC2)</f>
        <v>20.399999999999999</v>
      </c>
      <c r="E2">
        <v>23.7</v>
      </c>
      <c r="F2">
        <v>403</v>
      </c>
      <c r="G2" s="3">
        <f t="shared" ref="G2:G65" si="1">COUNTIFS(L2:AC2,"&gt;=10",L2:AC2,"&lt;=99")</f>
        <v>16</v>
      </c>
      <c r="H2" s="3">
        <f t="shared" ref="H2:H65" si="2">COUNTIFS(L2:AC2,"&gt;=15",L2:AC2,"&lt;=99")</f>
        <v>13</v>
      </c>
      <c r="I2" s="3">
        <f t="shared" ref="I2:I65" si="3">COUNTIFS(L2:AC2,"&gt;=20",L2:AC2,"&lt;=99")</f>
        <v>9</v>
      </c>
      <c r="J2" s="3">
        <f t="shared" ref="J2:J65" si="4">COUNTIFS(L2:AC2,"&gt;=30",L2:AC2,"&lt;=99")</f>
        <v>3</v>
      </c>
      <c r="K2" s="3">
        <f t="shared" ref="K2:K65" si="5">COUNT(L2:AC2)</f>
        <v>17</v>
      </c>
      <c r="L2">
        <v>12.2</v>
      </c>
      <c r="M2">
        <v>7.5</v>
      </c>
      <c r="N2">
        <v>29.8</v>
      </c>
      <c r="O2">
        <v>17.5</v>
      </c>
      <c r="P2">
        <v>41.3</v>
      </c>
      <c r="Q2">
        <v>12.2</v>
      </c>
      <c r="R2">
        <v>17.600000000000001</v>
      </c>
      <c r="S2">
        <v>20.399999999999999</v>
      </c>
      <c r="T2">
        <v>11.3</v>
      </c>
      <c r="U2">
        <v>55.4</v>
      </c>
      <c r="V2">
        <v>26.5</v>
      </c>
      <c r="W2" t="s">
        <v>7</v>
      </c>
      <c r="X2">
        <v>20.6</v>
      </c>
      <c r="Y2">
        <v>45.1</v>
      </c>
      <c r="Z2">
        <v>18.399999999999999</v>
      </c>
      <c r="AA2">
        <v>22.4</v>
      </c>
      <c r="AB2">
        <v>19.2</v>
      </c>
      <c r="AC2">
        <v>25.6</v>
      </c>
    </row>
    <row r="3" spans="1:29" x14ac:dyDescent="0.25">
      <c r="A3">
        <v>2</v>
      </c>
      <c r="B3" t="s">
        <v>117</v>
      </c>
      <c r="C3" t="s">
        <v>38</v>
      </c>
      <c r="D3" s="6">
        <f t="shared" si="0"/>
        <v>19.5</v>
      </c>
      <c r="E3">
        <v>18.7</v>
      </c>
      <c r="F3">
        <v>317.5</v>
      </c>
      <c r="G3" s="3">
        <f t="shared" si="1"/>
        <v>14</v>
      </c>
      <c r="H3" s="3">
        <f t="shared" si="2"/>
        <v>13</v>
      </c>
      <c r="I3" s="3">
        <f t="shared" si="3"/>
        <v>8</v>
      </c>
      <c r="J3" s="3">
        <f t="shared" si="4"/>
        <v>2</v>
      </c>
      <c r="K3" s="3">
        <f t="shared" si="5"/>
        <v>17</v>
      </c>
      <c r="L3">
        <v>15.9</v>
      </c>
      <c r="M3">
        <v>23.3</v>
      </c>
      <c r="N3">
        <v>20.100000000000001</v>
      </c>
      <c r="O3">
        <v>20.5</v>
      </c>
      <c r="P3">
        <v>15.2</v>
      </c>
      <c r="Q3" t="s">
        <v>7</v>
      </c>
      <c r="R3">
        <v>21.4</v>
      </c>
      <c r="S3">
        <v>19.5</v>
      </c>
      <c r="T3">
        <v>21.6</v>
      </c>
      <c r="U3">
        <v>9.8000000000000007</v>
      </c>
      <c r="V3">
        <v>14.1</v>
      </c>
      <c r="W3">
        <v>4.7</v>
      </c>
      <c r="X3">
        <v>16.899999999999999</v>
      </c>
      <c r="Y3">
        <v>32.200000000000003</v>
      </c>
      <c r="Z3">
        <v>20.3</v>
      </c>
      <c r="AA3">
        <v>36.4</v>
      </c>
      <c r="AB3">
        <v>17.2</v>
      </c>
      <c r="AC3">
        <v>8.4</v>
      </c>
    </row>
    <row r="4" spans="1:29" x14ac:dyDescent="0.25">
      <c r="A4">
        <v>3</v>
      </c>
      <c r="B4" t="s">
        <v>118</v>
      </c>
      <c r="C4" t="s">
        <v>10</v>
      </c>
      <c r="D4" s="6">
        <f t="shared" si="0"/>
        <v>18.600000000000001</v>
      </c>
      <c r="E4">
        <v>18.600000000000001</v>
      </c>
      <c r="F4">
        <v>316.2</v>
      </c>
      <c r="G4" s="3">
        <f t="shared" si="1"/>
        <v>15</v>
      </c>
      <c r="H4" s="3">
        <f t="shared" si="2"/>
        <v>10</v>
      </c>
      <c r="I4" s="3">
        <f t="shared" si="3"/>
        <v>7</v>
      </c>
      <c r="J4" s="3">
        <f t="shared" si="4"/>
        <v>2</v>
      </c>
      <c r="K4" s="3">
        <f t="shared" si="5"/>
        <v>17</v>
      </c>
      <c r="L4">
        <v>4.3</v>
      </c>
      <c r="M4">
        <v>22.9</v>
      </c>
      <c r="N4">
        <v>20.5</v>
      </c>
      <c r="O4">
        <v>20.8</v>
      </c>
      <c r="P4" t="s">
        <v>7</v>
      </c>
      <c r="Q4">
        <v>13.7</v>
      </c>
      <c r="R4">
        <v>25.2</v>
      </c>
      <c r="S4">
        <v>8.6999999999999993</v>
      </c>
      <c r="T4">
        <v>18.600000000000001</v>
      </c>
      <c r="U4">
        <v>18</v>
      </c>
      <c r="V4">
        <v>38.700000000000003</v>
      </c>
      <c r="W4">
        <v>12.2</v>
      </c>
      <c r="X4">
        <v>12.3</v>
      </c>
      <c r="Y4">
        <v>10.3</v>
      </c>
      <c r="Z4">
        <v>37.299999999999997</v>
      </c>
      <c r="AA4">
        <v>19</v>
      </c>
      <c r="AB4">
        <v>20</v>
      </c>
      <c r="AC4">
        <v>13.7</v>
      </c>
    </row>
    <row r="5" spans="1:29" x14ac:dyDescent="0.25">
      <c r="A5">
        <v>26</v>
      </c>
      <c r="B5" t="s">
        <v>143</v>
      </c>
      <c r="C5" t="s">
        <v>20</v>
      </c>
      <c r="D5" s="6">
        <f t="shared" si="0"/>
        <v>18.100000000000001</v>
      </c>
      <c r="E5">
        <v>18.8</v>
      </c>
      <c r="F5">
        <v>206.6</v>
      </c>
      <c r="G5" s="3">
        <f t="shared" si="1"/>
        <v>9</v>
      </c>
      <c r="H5" s="3">
        <f t="shared" si="2"/>
        <v>8</v>
      </c>
      <c r="I5" s="3">
        <f t="shared" si="3"/>
        <v>4</v>
      </c>
      <c r="J5" s="3">
        <f t="shared" si="4"/>
        <v>1</v>
      </c>
      <c r="K5" s="3">
        <f t="shared" si="5"/>
        <v>11</v>
      </c>
      <c r="L5">
        <v>8.1999999999999993</v>
      </c>
      <c r="M5" t="s">
        <v>8</v>
      </c>
      <c r="N5" t="s">
        <v>8</v>
      </c>
      <c r="O5" t="s">
        <v>8</v>
      </c>
      <c r="P5" t="s">
        <v>8</v>
      </c>
      <c r="Q5" t="s">
        <v>7</v>
      </c>
      <c r="R5" t="s">
        <v>8</v>
      </c>
      <c r="S5">
        <v>18.100000000000001</v>
      </c>
      <c r="T5">
        <v>2.1</v>
      </c>
      <c r="U5">
        <v>18.8</v>
      </c>
      <c r="V5">
        <v>25.3</v>
      </c>
      <c r="W5">
        <v>20.7</v>
      </c>
      <c r="X5">
        <v>17.3</v>
      </c>
      <c r="Y5">
        <v>41.8</v>
      </c>
      <c r="Z5">
        <v>17.8</v>
      </c>
      <c r="AA5">
        <v>13.6</v>
      </c>
      <c r="AB5">
        <v>22.9</v>
      </c>
      <c r="AC5" t="s">
        <v>8</v>
      </c>
    </row>
    <row r="6" spans="1:29" x14ac:dyDescent="0.25">
      <c r="A6">
        <v>17</v>
      </c>
      <c r="B6" t="s">
        <v>132</v>
      </c>
      <c r="C6" t="s">
        <v>30</v>
      </c>
      <c r="D6" s="6">
        <f t="shared" si="0"/>
        <v>18.049999999999997</v>
      </c>
      <c r="E6">
        <v>18.5</v>
      </c>
      <c r="F6">
        <v>222.1</v>
      </c>
      <c r="G6" s="3">
        <f t="shared" si="1"/>
        <v>9</v>
      </c>
      <c r="H6" s="3">
        <f t="shared" si="2"/>
        <v>7</v>
      </c>
      <c r="I6" s="3">
        <f t="shared" si="3"/>
        <v>3</v>
      </c>
      <c r="J6" s="3">
        <f t="shared" si="4"/>
        <v>1</v>
      </c>
      <c r="K6" s="3">
        <f t="shared" si="5"/>
        <v>12</v>
      </c>
      <c r="L6" t="s">
        <v>8</v>
      </c>
      <c r="M6" t="s">
        <v>8</v>
      </c>
      <c r="N6">
        <v>6.9</v>
      </c>
      <c r="O6">
        <v>12</v>
      </c>
      <c r="P6">
        <v>29.3</v>
      </c>
      <c r="Q6">
        <v>14.7</v>
      </c>
      <c r="R6">
        <v>18.2</v>
      </c>
      <c r="S6" t="s">
        <v>8</v>
      </c>
      <c r="T6" t="s">
        <v>8</v>
      </c>
      <c r="U6" t="s">
        <v>8</v>
      </c>
      <c r="V6">
        <v>29.8</v>
      </c>
      <c r="W6" t="s">
        <v>7</v>
      </c>
      <c r="X6">
        <v>17.899999999999999</v>
      </c>
      <c r="Y6">
        <v>4.3</v>
      </c>
      <c r="Z6">
        <v>19.8</v>
      </c>
      <c r="AA6">
        <v>19.8</v>
      </c>
      <c r="AB6">
        <v>40.1</v>
      </c>
      <c r="AC6">
        <v>9.3000000000000007</v>
      </c>
    </row>
    <row r="7" spans="1:29" x14ac:dyDescent="0.25">
      <c r="A7">
        <v>100</v>
      </c>
      <c r="B7" t="s">
        <v>213</v>
      </c>
      <c r="C7" t="s">
        <v>62</v>
      </c>
      <c r="D7" s="6">
        <f t="shared" si="0"/>
        <v>17.899999999999999</v>
      </c>
      <c r="E7">
        <v>16.2</v>
      </c>
      <c r="F7">
        <v>64.900000000000006</v>
      </c>
      <c r="G7" s="3">
        <f t="shared" si="1"/>
        <v>3</v>
      </c>
      <c r="H7" s="3">
        <f t="shared" si="2"/>
        <v>3</v>
      </c>
      <c r="I7" s="3">
        <f t="shared" si="3"/>
        <v>1</v>
      </c>
      <c r="J7" s="3">
        <f t="shared" si="4"/>
        <v>0</v>
      </c>
      <c r="K7" s="3">
        <f t="shared" si="5"/>
        <v>4</v>
      </c>
      <c r="L7">
        <v>17.3</v>
      </c>
      <c r="M7">
        <v>18.5</v>
      </c>
      <c r="N7">
        <v>29.1</v>
      </c>
      <c r="O7">
        <v>0</v>
      </c>
      <c r="P7" t="s">
        <v>8</v>
      </c>
      <c r="Q7" t="s">
        <v>7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8</v>
      </c>
      <c r="X7" t="s">
        <v>8</v>
      </c>
      <c r="Y7" t="s">
        <v>8</v>
      </c>
      <c r="Z7" t="s">
        <v>8</v>
      </c>
      <c r="AA7" t="s">
        <v>8</v>
      </c>
      <c r="AB7" t="s">
        <v>8</v>
      </c>
      <c r="AC7" t="s">
        <v>8</v>
      </c>
    </row>
    <row r="8" spans="1:29" x14ac:dyDescent="0.25">
      <c r="A8">
        <v>5</v>
      </c>
      <c r="B8" t="s">
        <v>120</v>
      </c>
      <c r="C8" t="s">
        <v>14</v>
      </c>
      <c r="D8" s="6">
        <f t="shared" si="0"/>
        <v>17.3</v>
      </c>
      <c r="E8">
        <v>16.5</v>
      </c>
      <c r="F8">
        <v>280.8</v>
      </c>
      <c r="G8" s="3">
        <f t="shared" si="1"/>
        <v>14</v>
      </c>
      <c r="H8" s="3">
        <f t="shared" si="2"/>
        <v>9</v>
      </c>
      <c r="I8" s="3">
        <f t="shared" si="3"/>
        <v>2</v>
      </c>
      <c r="J8" s="3">
        <f t="shared" si="4"/>
        <v>2</v>
      </c>
      <c r="K8" s="3">
        <f t="shared" si="5"/>
        <v>17</v>
      </c>
      <c r="L8">
        <v>3.5</v>
      </c>
      <c r="M8">
        <v>17.399999999999999</v>
      </c>
      <c r="N8">
        <v>18.7</v>
      </c>
      <c r="O8">
        <v>12.4</v>
      </c>
      <c r="P8">
        <v>33.4</v>
      </c>
      <c r="Q8">
        <v>19.399999999999999</v>
      </c>
      <c r="R8">
        <v>18.3</v>
      </c>
      <c r="S8">
        <v>7.4</v>
      </c>
      <c r="T8">
        <v>10.7</v>
      </c>
      <c r="U8">
        <v>17.7</v>
      </c>
      <c r="V8">
        <v>9.1</v>
      </c>
      <c r="W8" t="s">
        <v>7</v>
      </c>
      <c r="X8">
        <v>17.3</v>
      </c>
      <c r="Y8">
        <v>12</v>
      </c>
      <c r="Z8">
        <v>14.3</v>
      </c>
      <c r="AA8">
        <v>10.9</v>
      </c>
      <c r="AB8">
        <v>17.600000000000001</v>
      </c>
      <c r="AC8">
        <v>40.700000000000003</v>
      </c>
    </row>
    <row r="9" spans="1:29" x14ac:dyDescent="0.25">
      <c r="A9">
        <v>53</v>
      </c>
      <c r="B9" t="s">
        <v>169</v>
      </c>
      <c r="C9" t="s">
        <v>34</v>
      </c>
      <c r="D9" s="6">
        <f t="shared" si="0"/>
        <v>17.3</v>
      </c>
      <c r="E9">
        <v>19.7</v>
      </c>
      <c r="F9">
        <v>137.80000000000001</v>
      </c>
      <c r="G9" s="3">
        <f t="shared" si="1"/>
        <v>7</v>
      </c>
      <c r="H9" s="3">
        <f t="shared" si="2"/>
        <v>4</v>
      </c>
      <c r="I9" s="3">
        <f t="shared" si="3"/>
        <v>3</v>
      </c>
      <c r="J9" s="3">
        <f t="shared" si="4"/>
        <v>1</v>
      </c>
      <c r="K9" s="3">
        <f t="shared" si="5"/>
        <v>7</v>
      </c>
      <c r="L9">
        <v>22.3</v>
      </c>
      <c r="M9">
        <v>24.7</v>
      </c>
      <c r="N9">
        <v>17.3</v>
      </c>
      <c r="O9">
        <v>12.9</v>
      </c>
      <c r="P9">
        <v>11.6</v>
      </c>
      <c r="Q9">
        <v>35.5</v>
      </c>
      <c r="R9">
        <v>13.5</v>
      </c>
      <c r="S9" t="s">
        <v>8</v>
      </c>
      <c r="T9" t="s">
        <v>8</v>
      </c>
      <c r="U9" t="s">
        <v>8</v>
      </c>
      <c r="V9" t="s">
        <v>7</v>
      </c>
      <c r="W9" t="s">
        <v>8</v>
      </c>
      <c r="X9" t="s">
        <v>8</v>
      </c>
      <c r="Y9" t="s">
        <v>8</v>
      </c>
      <c r="Z9" t="s">
        <v>8</v>
      </c>
      <c r="AA9" t="s">
        <v>8</v>
      </c>
      <c r="AB9" t="s">
        <v>8</v>
      </c>
      <c r="AC9" t="s">
        <v>8</v>
      </c>
    </row>
    <row r="10" spans="1:29" x14ac:dyDescent="0.25">
      <c r="A10">
        <v>7</v>
      </c>
      <c r="B10" t="s">
        <v>121</v>
      </c>
      <c r="C10" t="s">
        <v>60</v>
      </c>
      <c r="D10" s="6">
        <f t="shared" si="0"/>
        <v>17</v>
      </c>
      <c r="E10">
        <v>15.8</v>
      </c>
      <c r="F10">
        <v>267.8</v>
      </c>
      <c r="G10" s="3">
        <f t="shared" si="1"/>
        <v>13</v>
      </c>
      <c r="H10" s="3">
        <f t="shared" si="2"/>
        <v>12</v>
      </c>
      <c r="I10" s="3">
        <f t="shared" si="3"/>
        <v>6</v>
      </c>
      <c r="J10" s="3">
        <f t="shared" si="4"/>
        <v>0</v>
      </c>
      <c r="K10" s="3">
        <f t="shared" si="5"/>
        <v>17</v>
      </c>
      <c r="L10">
        <v>3.7</v>
      </c>
      <c r="M10">
        <v>8.1999999999999993</v>
      </c>
      <c r="N10">
        <v>20</v>
      </c>
      <c r="O10">
        <v>18.2</v>
      </c>
      <c r="P10">
        <v>13.4</v>
      </c>
      <c r="Q10">
        <v>23.3</v>
      </c>
      <c r="R10">
        <v>15.8</v>
      </c>
      <c r="S10">
        <v>17.5</v>
      </c>
      <c r="T10">
        <v>15.9</v>
      </c>
      <c r="U10">
        <v>16.3</v>
      </c>
      <c r="V10">
        <v>2</v>
      </c>
      <c r="W10">
        <v>21.2</v>
      </c>
      <c r="X10">
        <v>27.3</v>
      </c>
      <c r="Y10" t="s">
        <v>7</v>
      </c>
      <c r="Z10">
        <v>26.3</v>
      </c>
      <c r="AA10">
        <v>17</v>
      </c>
      <c r="AB10">
        <v>1.5</v>
      </c>
      <c r="AC10">
        <v>20.2</v>
      </c>
    </row>
    <row r="11" spans="1:29" x14ac:dyDescent="0.25">
      <c r="A11">
        <v>8</v>
      </c>
      <c r="B11" t="s">
        <v>123</v>
      </c>
      <c r="C11" t="s">
        <v>64</v>
      </c>
      <c r="D11" s="6">
        <f t="shared" si="0"/>
        <v>16.8</v>
      </c>
      <c r="E11">
        <v>17.600000000000001</v>
      </c>
      <c r="F11">
        <v>263.39999999999998</v>
      </c>
      <c r="G11" s="3">
        <f t="shared" si="1"/>
        <v>12</v>
      </c>
      <c r="H11" s="3">
        <f t="shared" si="2"/>
        <v>10</v>
      </c>
      <c r="I11" s="3">
        <f t="shared" si="3"/>
        <v>4</v>
      </c>
      <c r="J11" s="3">
        <f t="shared" si="4"/>
        <v>1</v>
      </c>
      <c r="K11" s="3">
        <f t="shared" si="5"/>
        <v>15</v>
      </c>
      <c r="L11">
        <v>13.6</v>
      </c>
      <c r="M11">
        <v>19</v>
      </c>
      <c r="N11">
        <v>8.6999999999999993</v>
      </c>
      <c r="O11">
        <v>23.6</v>
      </c>
      <c r="P11">
        <v>11.4</v>
      </c>
      <c r="Q11">
        <v>16.100000000000001</v>
      </c>
      <c r="R11" t="s">
        <v>7</v>
      </c>
      <c r="S11">
        <v>39.6</v>
      </c>
      <c r="T11">
        <v>16.2</v>
      </c>
      <c r="U11">
        <v>8.4</v>
      </c>
      <c r="V11">
        <v>18.600000000000001</v>
      </c>
      <c r="W11">
        <v>16.8</v>
      </c>
      <c r="X11">
        <v>5.9</v>
      </c>
      <c r="Y11">
        <v>21.4</v>
      </c>
      <c r="Z11">
        <v>26.6</v>
      </c>
      <c r="AA11">
        <v>17.5</v>
      </c>
      <c r="AB11" t="s">
        <v>8</v>
      </c>
      <c r="AC11" t="s">
        <v>8</v>
      </c>
    </row>
    <row r="12" spans="1:29" x14ac:dyDescent="0.25">
      <c r="A12">
        <v>23</v>
      </c>
      <c r="B12" t="s">
        <v>137</v>
      </c>
      <c r="C12" t="s">
        <v>32</v>
      </c>
      <c r="D12" s="6">
        <f t="shared" si="0"/>
        <v>16.75</v>
      </c>
      <c r="E12">
        <v>17.600000000000001</v>
      </c>
      <c r="F12">
        <v>210.6</v>
      </c>
      <c r="G12" s="3">
        <f t="shared" si="1"/>
        <v>10</v>
      </c>
      <c r="H12" s="3">
        <f t="shared" si="2"/>
        <v>7</v>
      </c>
      <c r="I12" s="3">
        <f t="shared" si="3"/>
        <v>3</v>
      </c>
      <c r="J12" s="3">
        <f t="shared" si="4"/>
        <v>1</v>
      </c>
      <c r="K12" s="3">
        <f t="shared" si="5"/>
        <v>12</v>
      </c>
      <c r="L12">
        <v>17.7</v>
      </c>
      <c r="M12">
        <v>27.5</v>
      </c>
      <c r="N12">
        <v>12.6</v>
      </c>
      <c r="O12">
        <v>33.1</v>
      </c>
      <c r="P12">
        <v>15.8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>
        <v>9.4</v>
      </c>
      <c r="W12">
        <v>20.2</v>
      </c>
      <c r="X12">
        <v>19.899999999999999</v>
      </c>
      <c r="Y12" t="s">
        <v>7</v>
      </c>
      <c r="Z12">
        <v>17.7</v>
      </c>
      <c r="AA12">
        <v>13</v>
      </c>
      <c r="AB12">
        <v>8.9</v>
      </c>
      <c r="AC12">
        <v>14.8</v>
      </c>
    </row>
    <row r="13" spans="1:29" x14ac:dyDescent="0.25">
      <c r="A13">
        <v>4</v>
      </c>
      <c r="B13" t="s">
        <v>119</v>
      </c>
      <c r="C13" t="s">
        <v>66</v>
      </c>
      <c r="D13" s="6">
        <f t="shared" si="0"/>
        <v>16.600000000000001</v>
      </c>
      <c r="E13">
        <v>16.7</v>
      </c>
      <c r="F13">
        <v>284</v>
      </c>
      <c r="G13" s="3">
        <f t="shared" si="1"/>
        <v>13</v>
      </c>
      <c r="H13" s="3">
        <f t="shared" si="2"/>
        <v>10</v>
      </c>
      <c r="I13" s="3">
        <f t="shared" si="3"/>
        <v>6</v>
      </c>
      <c r="J13" s="3">
        <f t="shared" si="4"/>
        <v>1</v>
      </c>
      <c r="K13" s="3">
        <f t="shared" si="5"/>
        <v>17</v>
      </c>
      <c r="L13">
        <v>14.7</v>
      </c>
      <c r="M13">
        <v>11.4</v>
      </c>
      <c r="N13">
        <v>9.8000000000000007</v>
      </c>
      <c r="O13">
        <v>21.9</v>
      </c>
      <c r="P13">
        <v>23.2</v>
      </c>
      <c r="Q13">
        <v>5.7</v>
      </c>
      <c r="R13">
        <v>22.1</v>
      </c>
      <c r="S13">
        <v>15</v>
      </c>
      <c r="T13">
        <v>6.2</v>
      </c>
      <c r="U13">
        <v>3.2</v>
      </c>
      <c r="V13">
        <v>13.6</v>
      </c>
      <c r="W13" t="s">
        <v>7</v>
      </c>
      <c r="X13">
        <v>18.7</v>
      </c>
      <c r="Y13">
        <v>16.600000000000001</v>
      </c>
      <c r="Z13">
        <v>32.5</v>
      </c>
      <c r="AA13">
        <v>28.2</v>
      </c>
      <c r="AB13">
        <v>23.9</v>
      </c>
      <c r="AC13">
        <v>17.3</v>
      </c>
    </row>
    <row r="14" spans="1:29" x14ac:dyDescent="0.25">
      <c r="A14">
        <v>64</v>
      </c>
      <c r="B14" t="s">
        <v>182</v>
      </c>
      <c r="C14" t="s">
        <v>57</v>
      </c>
      <c r="D14" s="6">
        <f t="shared" si="0"/>
        <v>16.350000000000001</v>
      </c>
      <c r="E14">
        <v>15.2</v>
      </c>
      <c r="F14">
        <v>121.9</v>
      </c>
      <c r="G14" s="3">
        <f t="shared" si="1"/>
        <v>6</v>
      </c>
      <c r="H14" s="3">
        <f t="shared" si="2"/>
        <v>4</v>
      </c>
      <c r="I14" s="3">
        <f t="shared" si="3"/>
        <v>1</v>
      </c>
      <c r="J14" s="3">
        <f t="shared" si="4"/>
        <v>0</v>
      </c>
      <c r="K14" s="3">
        <f t="shared" si="5"/>
        <v>8</v>
      </c>
      <c r="L14">
        <v>21.9</v>
      </c>
      <c r="M14">
        <v>7.7</v>
      </c>
      <c r="N14">
        <v>19.899999999999999</v>
      </c>
      <c r="O14">
        <v>18.5</v>
      </c>
      <c r="P14">
        <v>14.2</v>
      </c>
      <c r="Q14">
        <v>19.7</v>
      </c>
      <c r="R14">
        <v>7.3</v>
      </c>
      <c r="S14">
        <v>12.7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7</v>
      </c>
      <c r="Z14" t="s">
        <v>8</v>
      </c>
      <c r="AA14" t="s">
        <v>8</v>
      </c>
      <c r="AB14" t="s">
        <v>8</v>
      </c>
      <c r="AC14" t="s">
        <v>8</v>
      </c>
    </row>
    <row r="15" spans="1:29" x14ac:dyDescent="0.25">
      <c r="A15">
        <v>92</v>
      </c>
      <c r="B15" t="s">
        <v>203</v>
      </c>
      <c r="C15" t="s">
        <v>26</v>
      </c>
      <c r="D15" s="6">
        <f t="shared" si="0"/>
        <v>16</v>
      </c>
      <c r="E15">
        <v>13.3</v>
      </c>
      <c r="F15">
        <v>79.8</v>
      </c>
      <c r="G15" s="3">
        <f t="shared" si="1"/>
        <v>4</v>
      </c>
      <c r="H15" s="3">
        <f t="shared" si="2"/>
        <v>4</v>
      </c>
      <c r="I15" s="3">
        <f t="shared" si="3"/>
        <v>1</v>
      </c>
      <c r="J15" s="3">
        <f t="shared" si="4"/>
        <v>0</v>
      </c>
      <c r="K15" s="3">
        <f t="shared" si="5"/>
        <v>6</v>
      </c>
      <c r="L15">
        <v>16.3</v>
      </c>
      <c r="M15">
        <v>20.9</v>
      </c>
      <c r="N15">
        <v>0</v>
      </c>
      <c r="O15">
        <v>15.7</v>
      </c>
      <c r="P15">
        <v>18.600000000000001</v>
      </c>
      <c r="Q15">
        <v>8.3000000000000007</v>
      </c>
      <c r="R15" t="s">
        <v>8</v>
      </c>
      <c r="S15" t="s">
        <v>8</v>
      </c>
      <c r="T15" t="s">
        <v>8</v>
      </c>
      <c r="U15" t="s">
        <v>8</v>
      </c>
      <c r="V15" t="s">
        <v>8</v>
      </c>
      <c r="W15" t="s">
        <v>7</v>
      </c>
      <c r="X15" t="s">
        <v>8</v>
      </c>
      <c r="Y15" t="s">
        <v>8</v>
      </c>
      <c r="Z15" t="s">
        <v>8</v>
      </c>
      <c r="AA15" t="s">
        <v>8</v>
      </c>
      <c r="AB15" t="s">
        <v>8</v>
      </c>
      <c r="AC15" t="s">
        <v>8</v>
      </c>
    </row>
    <row r="16" spans="1:29" x14ac:dyDescent="0.25">
      <c r="A16">
        <v>20</v>
      </c>
      <c r="B16" t="s">
        <v>133</v>
      </c>
      <c r="C16" t="s">
        <v>6</v>
      </c>
      <c r="D16" s="6">
        <f t="shared" si="0"/>
        <v>15.9</v>
      </c>
      <c r="E16">
        <v>16.7</v>
      </c>
      <c r="F16">
        <v>216.9</v>
      </c>
      <c r="G16" s="3">
        <f t="shared" si="1"/>
        <v>11</v>
      </c>
      <c r="H16" s="3">
        <f t="shared" si="2"/>
        <v>7</v>
      </c>
      <c r="I16" s="3">
        <f t="shared" si="3"/>
        <v>5</v>
      </c>
      <c r="J16" s="3">
        <f t="shared" si="4"/>
        <v>0</v>
      </c>
      <c r="K16" s="3">
        <f t="shared" si="5"/>
        <v>13</v>
      </c>
      <c r="L16">
        <v>22.9</v>
      </c>
      <c r="M16" t="s">
        <v>8</v>
      </c>
      <c r="N16" t="s">
        <v>8</v>
      </c>
      <c r="O16" t="s">
        <v>8</v>
      </c>
      <c r="P16" t="s">
        <v>7</v>
      </c>
      <c r="Q16">
        <v>23.6</v>
      </c>
      <c r="R16">
        <v>19.899999999999999</v>
      </c>
      <c r="S16">
        <v>13.4</v>
      </c>
      <c r="T16">
        <v>5.6</v>
      </c>
      <c r="U16">
        <v>15.9</v>
      </c>
      <c r="V16">
        <v>11.5</v>
      </c>
      <c r="W16">
        <v>22.9</v>
      </c>
      <c r="X16">
        <v>11.6</v>
      </c>
      <c r="Y16">
        <v>8.3000000000000007</v>
      </c>
      <c r="Z16">
        <v>25</v>
      </c>
      <c r="AA16">
        <v>23.7</v>
      </c>
      <c r="AB16">
        <v>12.6</v>
      </c>
      <c r="AC16" t="s">
        <v>8</v>
      </c>
    </row>
    <row r="17" spans="1:29" x14ac:dyDescent="0.25">
      <c r="A17">
        <v>38</v>
      </c>
      <c r="B17" t="s">
        <v>155</v>
      </c>
      <c r="C17" t="s">
        <v>53</v>
      </c>
      <c r="D17" s="6">
        <f t="shared" si="0"/>
        <v>15.55</v>
      </c>
      <c r="E17">
        <v>14.6</v>
      </c>
      <c r="F17">
        <v>175</v>
      </c>
      <c r="G17" s="3">
        <f t="shared" si="1"/>
        <v>7</v>
      </c>
      <c r="H17" s="3">
        <f t="shared" si="2"/>
        <v>7</v>
      </c>
      <c r="I17" s="3">
        <f t="shared" si="3"/>
        <v>5</v>
      </c>
      <c r="J17" s="3">
        <f t="shared" si="4"/>
        <v>1</v>
      </c>
      <c r="K17" s="3">
        <f t="shared" si="5"/>
        <v>12</v>
      </c>
      <c r="L17">
        <v>32</v>
      </c>
      <c r="M17">
        <v>7.7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>
        <v>16.100000000000001</v>
      </c>
      <c r="T17">
        <v>21.4</v>
      </c>
      <c r="U17">
        <v>15</v>
      </c>
      <c r="V17">
        <v>28.6</v>
      </c>
      <c r="W17">
        <v>20</v>
      </c>
      <c r="X17">
        <v>4.7</v>
      </c>
      <c r="Y17">
        <v>20.2</v>
      </c>
      <c r="Z17">
        <v>0</v>
      </c>
      <c r="AA17">
        <v>5.4</v>
      </c>
      <c r="AB17">
        <v>3.9</v>
      </c>
      <c r="AC17" t="s">
        <v>8</v>
      </c>
    </row>
    <row r="18" spans="1:29" x14ac:dyDescent="0.25">
      <c r="A18">
        <v>11</v>
      </c>
      <c r="B18" t="s">
        <v>129</v>
      </c>
      <c r="C18" t="s">
        <v>20</v>
      </c>
      <c r="D18" s="6">
        <f t="shared" si="0"/>
        <v>15.4</v>
      </c>
      <c r="E18">
        <v>17.2</v>
      </c>
      <c r="F18">
        <v>241.3</v>
      </c>
      <c r="G18" s="3">
        <f t="shared" si="1"/>
        <v>9</v>
      </c>
      <c r="H18" s="3">
        <f t="shared" si="2"/>
        <v>7</v>
      </c>
      <c r="I18" s="3">
        <f t="shared" si="3"/>
        <v>5</v>
      </c>
      <c r="J18" s="3">
        <f t="shared" si="4"/>
        <v>1</v>
      </c>
      <c r="K18" s="3">
        <f t="shared" si="5"/>
        <v>14</v>
      </c>
      <c r="L18">
        <v>10.9</v>
      </c>
      <c r="M18">
        <v>26</v>
      </c>
      <c r="N18">
        <v>8</v>
      </c>
      <c r="O18" t="s">
        <v>8</v>
      </c>
      <c r="P18" t="s">
        <v>8</v>
      </c>
      <c r="Q18" t="s">
        <v>7</v>
      </c>
      <c r="R18">
        <v>6</v>
      </c>
      <c r="S18">
        <v>9.4</v>
      </c>
      <c r="T18">
        <v>22.1</v>
      </c>
      <c r="U18">
        <v>9.1</v>
      </c>
      <c r="V18">
        <v>13.2</v>
      </c>
      <c r="W18" t="s">
        <v>8</v>
      </c>
      <c r="X18">
        <v>17.600000000000001</v>
      </c>
      <c r="Y18">
        <v>25.9</v>
      </c>
      <c r="Z18">
        <v>42.8</v>
      </c>
      <c r="AA18">
        <v>19.8</v>
      </c>
      <c r="AB18">
        <v>9.6999999999999993</v>
      </c>
      <c r="AC18">
        <v>20.8</v>
      </c>
    </row>
    <row r="19" spans="1:29" x14ac:dyDescent="0.25">
      <c r="A19">
        <v>27</v>
      </c>
      <c r="B19" t="s">
        <v>145</v>
      </c>
      <c r="C19" t="s">
        <v>6</v>
      </c>
      <c r="D19" s="6">
        <f t="shared" si="0"/>
        <v>15.4</v>
      </c>
      <c r="E19">
        <v>15.3</v>
      </c>
      <c r="F19">
        <v>199.4</v>
      </c>
      <c r="G19" s="3">
        <f t="shared" si="1"/>
        <v>10</v>
      </c>
      <c r="H19" s="3">
        <f t="shared" si="2"/>
        <v>7</v>
      </c>
      <c r="I19" s="3">
        <f t="shared" si="3"/>
        <v>4</v>
      </c>
      <c r="J19" s="3">
        <f t="shared" si="4"/>
        <v>1</v>
      </c>
      <c r="K19" s="3">
        <f t="shared" si="5"/>
        <v>13</v>
      </c>
      <c r="L19">
        <v>15.4</v>
      </c>
      <c r="M19">
        <v>20.6</v>
      </c>
      <c r="N19">
        <v>14.9</v>
      </c>
      <c r="O19" t="s">
        <v>8</v>
      </c>
      <c r="P19" t="s">
        <v>7</v>
      </c>
      <c r="Q19">
        <v>15.4</v>
      </c>
      <c r="R19">
        <v>0.8</v>
      </c>
      <c r="S19">
        <v>20.5</v>
      </c>
      <c r="T19">
        <v>18.7</v>
      </c>
      <c r="U19">
        <v>3.4</v>
      </c>
      <c r="V19">
        <v>6.9</v>
      </c>
      <c r="W19" t="s">
        <v>8</v>
      </c>
      <c r="X19" t="s">
        <v>8</v>
      </c>
      <c r="Y19">
        <v>13.7</v>
      </c>
      <c r="Z19">
        <v>28</v>
      </c>
      <c r="AA19">
        <v>11.1</v>
      </c>
      <c r="AB19">
        <v>30</v>
      </c>
      <c r="AC19" t="s">
        <v>8</v>
      </c>
    </row>
    <row r="20" spans="1:29" x14ac:dyDescent="0.25">
      <c r="A20">
        <v>15</v>
      </c>
      <c r="B20" t="s">
        <v>128</v>
      </c>
      <c r="C20" t="s">
        <v>50</v>
      </c>
      <c r="D20" s="6">
        <f t="shared" si="0"/>
        <v>15</v>
      </c>
      <c r="E20">
        <v>14.1</v>
      </c>
      <c r="F20">
        <v>240.3</v>
      </c>
      <c r="G20" s="3">
        <f t="shared" si="1"/>
        <v>13</v>
      </c>
      <c r="H20" s="3">
        <f t="shared" si="2"/>
        <v>9</v>
      </c>
      <c r="I20" s="3">
        <f t="shared" si="3"/>
        <v>3</v>
      </c>
      <c r="J20" s="3">
        <f t="shared" si="4"/>
        <v>0</v>
      </c>
      <c r="K20" s="3">
        <f t="shared" si="5"/>
        <v>17</v>
      </c>
      <c r="L20">
        <v>7.8</v>
      </c>
      <c r="M20">
        <v>3.6</v>
      </c>
      <c r="N20">
        <v>13.8</v>
      </c>
      <c r="O20">
        <v>15</v>
      </c>
      <c r="P20">
        <v>5.2</v>
      </c>
      <c r="Q20">
        <v>15.3</v>
      </c>
      <c r="R20">
        <v>0</v>
      </c>
      <c r="S20">
        <v>17.100000000000001</v>
      </c>
      <c r="T20">
        <v>23.3</v>
      </c>
      <c r="U20">
        <v>19</v>
      </c>
      <c r="V20">
        <v>14.8</v>
      </c>
      <c r="W20">
        <v>29.7</v>
      </c>
      <c r="X20">
        <v>16.2</v>
      </c>
      <c r="Y20" t="s">
        <v>7</v>
      </c>
      <c r="Z20">
        <v>12.2</v>
      </c>
      <c r="AA20">
        <v>10</v>
      </c>
      <c r="AB20">
        <v>16.5</v>
      </c>
      <c r="AC20">
        <v>20.8</v>
      </c>
    </row>
    <row r="21" spans="1:29" x14ac:dyDescent="0.25">
      <c r="A21">
        <v>6</v>
      </c>
      <c r="B21" t="s">
        <v>122</v>
      </c>
      <c r="C21" t="s">
        <v>55</v>
      </c>
      <c r="D21" s="6">
        <f t="shared" si="0"/>
        <v>14.9</v>
      </c>
      <c r="E21">
        <v>18.2</v>
      </c>
      <c r="F21">
        <v>273.60000000000002</v>
      </c>
      <c r="G21" s="3">
        <f t="shared" si="1"/>
        <v>14</v>
      </c>
      <c r="H21" s="3">
        <f t="shared" si="2"/>
        <v>7</v>
      </c>
      <c r="I21" s="3">
        <f t="shared" si="3"/>
        <v>5</v>
      </c>
      <c r="J21" s="3">
        <f t="shared" si="4"/>
        <v>1</v>
      </c>
      <c r="K21" s="3">
        <f t="shared" si="5"/>
        <v>15</v>
      </c>
      <c r="L21">
        <v>11.6</v>
      </c>
      <c r="M21">
        <v>28.7</v>
      </c>
      <c r="N21">
        <v>28.2</v>
      </c>
      <c r="O21">
        <v>23.1</v>
      </c>
      <c r="P21" t="s">
        <v>8</v>
      </c>
      <c r="Q21" t="s">
        <v>8</v>
      </c>
      <c r="R21">
        <v>8.1</v>
      </c>
      <c r="S21">
        <v>14.1</v>
      </c>
      <c r="T21">
        <v>14.9</v>
      </c>
      <c r="U21">
        <v>10.8</v>
      </c>
      <c r="V21" t="s">
        <v>7</v>
      </c>
      <c r="W21">
        <v>12.4</v>
      </c>
      <c r="X21">
        <v>15.3</v>
      </c>
      <c r="Y21">
        <v>14.9</v>
      </c>
      <c r="Z21">
        <v>24.2</v>
      </c>
      <c r="AA21">
        <v>13.8</v>
      </c>
      <c r="AB21">
        <v>36.1</v>
      </c>
      <c r="AC21">
        <v>17.399999999999999</v>
      </c>
    </row>
    <row r="22" spans="1:29" x14ac:dyDescent="0.25">
      <c r="A22">
        <v>14</v>
      </c>
      <c r="B22" t="s">
        <v>124</v>
      </c>
      <c r="C22" t="s">
        <v>34</v>
      </c>
      <c r="D22" s="6">
        <f t="shared" si="0"/>
        <v>14.899999999999999</v>
      </c>
      <c r="E22">
        <v>17.2</v>
      </c>
      <c r="F22">
        <v>240.4</v>
      </c>
      <c r="G22" s="3">
        <f t="shared" si="1"/>
        <v>10</v>
      </c>
      <c r="H22" s="3">
        <f t="shared" si="2"/>
        <v>7</v>
      </c>
      <c r="I22" s="3">
        <f t="shared" si="3"/>
        <v>6</v>
      </c>
      <c r="J22" s="3">
        <f t="shared" si="4"/>
        <v>1</v>
      </c>
      <c r="K22" s="3">
        <f t="shared" si="5"/>
        <v>14</v>
      </c>
      <c r="L22">
        <v>23.1</v>
      </c>
      <c r="M22">
        <v>7.2</v>
      </c>
      <c r="N22">
        <v>3.7</v>
      </c>
      <c r="O22">
        <v>23.4</v>
      </c>
      <c r="P22">
        <v>23.2</v>
      </c>
      <c r="Q22">
        <v>5.4</v>
      </c>
      <c r="R22">
        <v>9.5</v>
      </c>
      <c r="S22" t="s">
        <v>8</v>
      </c>
      <c r="T22" t="s">
        <v>8</v>
      </c>
      <c r="U22" t="s">
        <v>8</v>
      </c>
      <c r="V22" t="s">
        <v>7</v>
      </c>
      <c r="W22">
        <v>11.8</v>
      </c>
      <c r="X22">
        <v>25.8</v>
      </c>
      <c r="Y22">
        <v>10.9</v>
      </c>
      <c r="Z22">
        <v>36.9</v>
      </c>
      <c r="AA22">
        <v>11.9</v>
      </c>
      <c r="AB22">
        <v>29.7</v>
      </c>
      <c r="AC22">
        <v>17.899999999999999</v>
      </c>
    </row>
    <row r="23" spans="1:29" x14ac:dyDescent="0.25">
      <c r="A23">
        <v>12</v>
      </c>
      <c r="B23" t="s">
        <v>127</v>
      </c>
      <c r="C23" t="s">
        <v>45</v>
      </c>
      <c r="D23" s="6">
        <f t="shared" si="0"/>
        <v>14.8</v>
      </c>
      <c r="E23">
        <v>15.1</v>
      </c>
      <c r="F23">
        <v>240.9</v>
      </c>
      <c r="G23" s="3">
        <f t="shared" si="1"/>
        <v>11</v>
      </c>
      <c r="H23" s="3">
        <f t="shared" si="2"/>
        <v>7</v>
      </c>
      <c r="I23" s="3">
        <f t="shared" si="3"/>
        <v>3</v>
      </c>
      <c r="J23" s="3">
        <f t="shared" si="4"/>
        <v>0</v>
      </c>
      <c r="K23" s="3">
        <f t="shared" si="5"/>
        <v>16</v>
      </c>
      <c r="L23">
        <v>14.9</v>
      </c>
      <c r="M23">
        <v>4.5999999999999996</v>
      </c>
      <c r="N23">
        <v>7.4</v>
      </c>
      <c r="O23">
        <v>17.7</v>
      </c>
      <c r="P23" t="s">
        <v>7</v>
      </c>
      <c r="Q23">
        <v>8.3000000000000007</v>
      </c>
      <c r="R23">
        <v>9.6</v>
      </c>
      <c r="S23">
        <v>29.1</v>
      </c>
      <c r="T23">
        <v>11.4</v>
      </c>
      <c r="U23">
        <v>7.2</v>
      </c>
      <c r="V23">
        <v>18.3</v>
      </c>
      <c r="W23">
        <v>14.3</v>
      </c>
      <c r="X23">
        <v>20.7</v>
      </c>
      <c r="Y23" t="s">
        <v>8</v>
      </c>
      <c r="Z23">
        <v>16.8</v>
      </c>
      <c r="AA23">
        <v>14.7</v>
      </c>
      <c r="AB23">
        <v>29.4</v>
      </c>
      <c r="AC23">
        <v>16.5</v>
      </c>
    </row>
    <row r="24" spans="1:29" x14ac:dyDescent="0.25">
      <c r="A24">
        <v>35</v>
      </c>
      <c r="B24" t="s">
        <v>151</v>
      </c>
      <c r="C24" t="s">
        <v>24</v>
      </c>
      <c r="D24" s="6">
        <f t="shared" si="0"/>
        <v>14.649999999999999</v>
      </c>
      <c r="E24">
        <v>13.1</v>
      </c>
      <c r="F24">
        <v>183.5</v>
      </c>
      <c r="G24" s="3">
        <f t="shared" si="1"/>
        <v>9</v>
      </c>
      <c r="H24" s="3">
        <f t="shared" si="2"/>
        <v>7</v>
      </c>
      <c r="I24" s="3">
        <f t="shared" si="3"/>
        <v>2</v>
      </c>
      <c r="J24" s="3">
        <f t="shared" si="4"/>
        <v>0</v>
      </c>
      <c r="K24" s="3">
        <f t="shared" si="5"/>
        <v>14</v>
      </c>
      <c r="L24" t="s">
        <v>8</v>
      </c>
      <c r="M24" t="s">
        <v>8</v>
      </c>
      <c r="N24">
        <v>5.2</v>
      </c>
      <c r="O24">
        <v>22.2</v>
      </c>
      <c r="P24">
        <v>15.9</v>
      </c>
      <c r="Q24">
        <v>19.5</v>
      </c>
      <c r="R24">
        <v>1.3</v>
      </c>
      <c r="S24">
        <v>22.2</v>
      </c>
      <c r="T24">
        <v>12</v>
      </c>
      <c r="U24">
        <v>14.2</v>
      </c>
      <c r="V24">
        <v>19.399999999999999</v>
      </c>
      <c r="W24">
        <v>5.7</v>
      </c>
      <c r="X24" t="s">
        <v>8</v>
      </c>
      <c r="Y24" t="s">
        <v>7</v>
      </c>
      <c r="Z24">
        <v>6.2</v>
      </c>
      <c r="AA24">
        <v>15.1</v>
      </c>
      <c r="AB24">
        <v>5.2</v>
      </c>
      <c r="AC24">
        <v>19.399999999999999</v>
      </c>
    </row>
    <row r="25" spans="1:29" x14ac:dyDescent="0.25">
      <c r="A25">
        <v>19</v>
      </c>
      <c r="B25" t="s">
        <v>138</v>
      </c>
      <c r="C25" t="s">
        <v>97</v>
      </c>
      <c r="D25" s="6">
        <f t="shared" si="0"/>
        <v>13.7</v>
      </c>
      <c r="E25">
        <v>14.5</v>
      </c>
      <c r="F25">
        <v>218</v>
      </c>
      <c r="G25" s="3">
        <f t="shared" si="1"/>
        <v>10</v>
      </c>
      <c r="H25" s="3">
        <f t="shared" si="2"/>
        <v>7</v>
      </c>
      <c r="I25" s="3">
        <f t="shared" si="3"/>
        <v>3</v>
      </c>
      <c r="J25" s="3">
        <f t="shared" si="4"/>
        <v>0</v>
      </c>
      <c r="K25" s="3">
        <f t="shared" si="5"/>
        <v>15</v>
      </c>
      <c r="L25">
        <v>9.4</v>
      </c>
      <c r="M25">
        <v>6.9</v>
      </c>
      <c r="N25">
        <v>21.2</v>
      </c>
      <c r="O25">
        <v>9.9</v>
      </c>
      <c r="P25">
        <v>13.2</v>
      </c>
      <c r="Q25" t="s">
        <v>8</v>
      </c>
      <c r="R25" t="s">
        <v>8</v>
      </c>
      <c r="S25">
        <v>17.2</v>
      </c>
      <c r="T25">
        <v>18.5</v>
      </c>
      <c r="U25" t="s">
        <v>7</v>
      </c>
      <c r="V25">
        <v>8.8000000000000007</v>
      </c>
      <c r="W25">
        <v>22.1</v>
      </c>
      <c r="X25">
        <v>15.7</v>
      </c>
      <c r="Y25">
        <v>13.7</v>
      </c>
      <c r="Z25">
        <v>10.9</v>
      </c>
      <c r="AA25">
        <v>6.1</v>
      </c>
      <c r="AB25">
        <v>17.100000000000001</v>
      </c>
      <c r="AC25">
        <v>27.3</v>
      </c>
    </row>
    <row r="26" spans="1:29" x14ac:dyDescent="0.25">
      <c r="A26">
        <v>21</v>
      </c>
      <c r="B26" t="s">
        <v>135</v>
      </c>
      <c r="C26" t="s">
        <v>38</v>
      </c>
      <c r="D26" s="6">
        <f t="shared" si="0"/>
        <v>13.3</v>
      </c>
      <c r="E26">
        <v>14.2</v>
      </c>
      <c r="F26">
        <v>212.5</v>
      </c>
      <c r="G26" s="3">
        <f t="shared" si="1"/>
        <v>8</v>
      </c>
      <c r="H26" s="3">
        <f t="shared" si="2"/>
        <v>6</v>
      </c>
      <c r="I26" s="3">
        <f t="shared" si="3"/>
        <v>3</v>
      </c>
      <c r="J26" s="3">
        <f t="shared" si="4"/>
        <v>2</v>
      </c>
      <c r="K26" s="3">
        <f t="shared" si="5"/>
        <v>15</v>
      </c>
      <c r="L26">
        <v>6.5</v>
      </c>
      <c r="M26" t="s">
        <v>8</v>
      </c>
      <c r="N26" t="s">
        <v>8</v>
      </c>
      <c r="O26">
        <v>22.9</v>
      </c>
      <c r="P26">
        <v>6.6</v>
      </c>
      <c r="Q26" t="s">
        <v>7</v>
      </c>
      <c r="R26">
        <v>9.6</v>
      </c>
      <c r="S26">
        <v>4.2</v>
      </c>
      <c r="T26">
        <v>16.100000000000001</v>
      </c>
      <c r="U26">
        <v>4.9000000000000004</v>
      </c>
      <c r="V26">
        <v>15.1</v>
      </c>
      <c r="W26">
        <v>30.2</v>
      </c>
      <c r="X26">
        <v>9.4</v>
      </c>
      <c r="Y26">
        <v>39.299999999999997</v>
      </c>
      <c r="Z26">
        <v>13.3</v>
      </c>
      <c r="AA26">
        <v>14.5</v>
      </c>
      <c r="AB26">
        <v>18.899999999999999</v>
      </c>
      <c r="AC26">
        <v>1</v>
      </c>
    </row>
    <row r="27" spans="1:29" x14ac:dyDescent="0.25">
      <c r="A27">
        <v>9</v>
      </c>
      <c r="B27" t="s">
        <v>125</v>
      </c>
      <c r="C27" t="s">
        <v>53</v>
      </c>
      <c r="D27" s="6">
        <f t="shared" si="0"/>
        <v>13.1</v>
      </c>
      <c r="E27">
        <v>14.9</v>
      </c>
      <c r="F27">
        <v>253</v>
      </c>
      <c r="G27" s="3">
        <f t="shared" si="1"/>
        <v>12</v>
      </c>
      <c r="H27" s="3">
        <f t="shared" si="2"/>
        <v>7</v>
      </c>
      <c r="I27" s="3">
        <f t="shared" si="3"/>
        <v>4</v>
      </c>
      <c r="J27" s="3">
        <f t="shared" si="4"/>
        <v>1</v>
      </c>
      <c r="K27" s="3">
        <f t="shared" si="5"/>
        <v>17</v>
      </c>
      <c r="L27">
        <v>3.9</v>
      </c>
      <c r="M27">
        <v>23.7</v>
      </c>
      <c r="N27">
        <v>6.9</v>
      </c>
      <c r="O27">
        <v>13.1</v>
      </c>
      <c r="P27">
        <v>13.1</v>
      </c>
      <c r="Q27">
        <v>10.3</v>
      </c>
      <c r="R27">
        <v>5.3</v>
      </c>
      <c r="S27">
        <v>12.9</v>
      </c>
      <c r="T27">
        <v>37</v>
      </c>
      <c r="U27" t="s">
        <v>7</v>
      </c>
      <c r="V27">
        <v>21.8</v>
      </c>
      <c r="W27">
        <v>19.7</v>
      </c>
      <c r="X27">
        <v>11.9</v>
      </c>
      <c r="Y27">
        <v>19.600000000000001</v>
      </c>
      <c r="Z27">
        <v>18.3</v>
      </c>
      <c r="AA27">
        <v>24</v>
      </c>
      <c r="AB27">
        <v>6.2</v>
      </c>
      <c r="AC27">
        <v>5.3</v>
      </c>
    </row>
    <row r="28" spans="1:29" x14ac:dyDescent="0.25">
      <c r="A28">
        <v>10</v>
      </c>
      <c r="B28" t="s">
        <v>126</v>
      </c>
      <c r="C28" t="s">
        <v>40</v>
      </c>
      <c r="D28" s="6">
        <f t="shared" si="0"/>
        <v>13.1</v>
      </c>
      <c r="E28">
        <v>14.8</v>
      </c>
      <c r="F28">
        <v>251.9</v>
      </c>
      <c r="G28" s="3">
        <f t="shared" si="1"/>
        <v>12</v>
      </c>
      <c r="H28" s="3">
        <f t="shared" si="2"/>
        <v>6</v>
      </c>
      <c r="I28" s="3">
        <f t="shared" si="3"/>
        <v>3</v>
      </c>
      <c r="J28" s="3">
        <f t="shared" si="4"/>
        <v>1</v>
      </c>
      <c r="K28" s="3">
        <f t="shared" si="5"/>
        <v>17</v>
      </c>
      <c r="L28">
        <v>12</v>
      </c>
      <c r="M28">
        <v>10.199999999999999</v>
      </c>
      <c r="N28">
        <v>14.3</v>
      </c>
      <c r="O28">
        <v>7.1</v>
      </c>
      <c r="P28">
        <v>29.1</v>
      </c>
      <c r="Q28">
        <v>24.7</v>
      </c>
      <c r="R28">
        <v>13.1</v>
      </c>
      <c r="S28">
        <v>16.3</v>
      </c>
      <c r="T28">
        <v>30</v>
      </c>
      <c r="U28">
        <v>9.1</v>
      </c>
      <c r="V28">
        <v>5.8</v>
      </c>
      <c r="W28" t="s">
        <v>7</v>
      </c>
      <c r="X28">
        <v>9.1</v>
      </c>
      <c r="Y28">
        <v>18.399999999999999</v>
      </c>
      <c r="Z28">
        <v>14.6</v>
      </c>
      <c r="AA28">
        <v>11.4</v>
      </c>
      <c r="AB28">
        <v>17.600000000000001</v>
      </c>
      <c r="AC28">
        <v>9.1</v>
      </c>
    </row>
    <row r="29" spans="1:29" x14ac:dyDescent="0.25">
      <c r="A29">
        <v>22</v>
      </c>
      <c r="B29" t="s">
        <v>134</v>
      </c>
      <c r="C29" t="s">
        <v>10</v>
      </c>
      <c r="D29" s="6">
        <f t="shared" si="0"/>
        <v>13</v>
      </c>
      <c r="E29">
        <v>14.1</v>
      </c>
      <c r="F29">
        <v>212.2</v>
      </c>
      <c r="G29" s="3">
        <f t="shared" si="1"/>
        <v>10</v>
      </c>
      <c r="H29" s="3">
        <f t="shared" si="2"/>
        <v>6</v>
      </c>
      <c r="I29" s="3">
        <f t="shared" si="3"/>
        <v>4</v>
      </c>
      <c r="J29" s="3">
        <f t="shared" si="4"/>
        <v>0</v>
      </c>
      <c r="K29" s="3">
        <f t="shared" si="5"/>
        <v>15</v>
      </c>
      <c r="L29">
        <v>24.4</v>
      </c>
      <c r="M29">
        <v>14.4</v>
      </c>
      <c r="N29">
        <v>1.2</v>
      </c>
      <c r="O29">
        <v>16</v>
      </c>
      <c r="P29" t="s">
        <v>7</v>
      </c>
      <c r="Q29">
        <v>17.7</v>
      </c>
      <c r="R29">
        <v>0.6</v>
      </c>
      <c r="S29" t="s">
        <v>8</v>
      </c>
      <c r="T29" t="s">
        <v>8</v>
      </c>
      <c r="U29">
        <v>8.3000000000000007</v>
      </c>
      <c r="V29">
        <v>22.6</v>
      </c>
      <c r="W29">
        <v>11.8</v>
      </c>
      <c r="X29">
        <v>9.6</v>
      </c>
      <c r="Y29">
        <v>13</v>
      </c>
      <c r="Z29">
        <v>12.7</v>
      </c>
      <c r="AA29">
        <v>26</v>
      </c>
      <c r="AB29">
        <v>24.5</v>
      </c>
      <c r="AC29">
        <v>9.4</v>
      </c>
    </row>
    <row r="30" spans="1:29" x14ac:dyDescent="0.25">
      <c r="A30">
        <v>12</v>
      </c>
      <c r="B30" t="s">
        <v>130</v>
      </c>
      <c r="C30" t="s">
        <v>69</v>
      </c>
      <c r="D30" s="6">
        <f t="shared" si="0"/>
        <v>12.9</v>
      </c>
      <c r="E30">
        <v>14.2</v>
      </c>
      <c r="F30">
        <v>240.9</v>
      </c>
      <c r="G30" s="3">
        <f t="shared" si="1"/>
        <v>12</v>
      </c>
      <c r="H30" s="3">
        <f t="shared" si="2"/>
        <v>5</v>
      </c>
      <c r="I30" s="3">
        <f t="shared" si="3"/>
        <v>4</v>
      </c>
      <c r="J30" s="3">
        <f t="shared" si="4"/>
        <v>1</v>
      </c>
      <c r="K30" s="3">
        <f t="shared" si="5"/>
        <v>17</v>
      </c>
      <c r="L30">
        <v>11.5</v>
      </c>
      <c r="M30">
        <v>12.3</v>
      </c>
      <c r="N30">
        <v>8.6999999999999993</v>
      </c>
      <c r="O30">
        <v>13.2</v>
      </c>
      <c r="P30">
        <v>2.6</v>
      </c>
      <c r="Q30">
        <v>4.5</v>
      </c>
      <c r="R30">
        <v>2.8</v>
      </c>
      <c r="S30">
        <v>12.9</v>
      </c>
      <c r="T30">
        <v>14.3</v>
      </c>
      <c r="U30" t="s">
        <v>7</v>
      </c>
      <c r="V30">
        <v>26.2</v>
      </c>
      <c r="W30">
        <v>14.5</v>
      </c>
      <c r="X30">
        <v>40.5</v>
      </c>
      <c r="Y30">
        <v>17.399999999999999</v>
      </c>
      <c r="Z30">
        <v>21.8</v>
      </c>
      <c r="AA30">
        <v>4</v>
      </c>
      <c r="AB30">
        <v>21.4</v>
      </c>
      <c r="AC30">
        <v>12.3</v>
      </c>
    </row>
    <row r="31" spans="1:29" x14ac:dyDescent="0.25">
      <c r="A31">
        <v>16</v>
      </c>
      <c r="B31" t="s">
        <v>131</v>
      </c>
      <c r="C31" t="s">
        <v>43</v>
      </c>
      <c r="D31" s="6">
        <f t="shared" si="0"/>
        <v>12.2</v>
      </c>
      <c r="E31">
        <v>14</v>
      </c>
      <c r="F31">
        <v>238.1</v>
      </c>
      <c r="G31" s="3">
        <f t="shared" si="1"/>
        <v>13</v>
      </c>
      <c r="H31" s="3">
        <f t="shared" si="2"/>
        <v>6</v>
      </c>
      <c r="I31" s="3">
        <f t="shared" si="3"/>
        <v>4</v>
      </c>
      <c r="J31" s="3">
        <f t="shared" si="4"/>
        <v>0</v>
      </c>
      <c r="K31" s="3">
        <f t="shared" si="5"/>
        <v>17</v>
      </c>
      <c r="L31">
        <v>10</v>
      </c>
      <c r="M31">
        <v>11.3</v>
      </c>
      <c r="N31">
        <v>15.2</v>
      </c>
      <c r="O31">
        <v>11.2</v>
      </c>
      <c r="P31">
        <v>27.5</v>
      </c>
      <c r="Q31">
        <v>6</v>
      </c>
      <c r="R31" t="s">
        <v>7</v>
      </c>
      <c r="S31">
        <v>5.4</v>
      </c>
      <c r="T31">
        <v>7.3</v>
      </c>
      <c r="U31">
        <v>5.7</v>
      </c>
      <c r="V31">
        <v>13.7</v>
      </c>
      <c r="W31">
        <v>26.9</v>
      </c>
      <c r="X31">
        <v>23.7</v>
      </c>
      <c r="Y31">
        <v>10.9</v>
      </c>
      <c r="Z31">
        <v>15</v>
      </c>
      <c r="AA31">
        <v>14</v>
      </c>
      <c r="AB31">
        <v>12.2</v>
      </c>
      <c r="AC31">
        <v>22.1</v>
      </c>
    </row>
    <row r="32" spans="1:29" x14ac:dyDescent="0.25">
      <c r="A32">
        <v>18</v>
      </c>
      <c r="B32" t="s">
        <v>136</v>
      </c>
      <c r="C32" t="s">
        <v>18</v>
      </c>
      <c r="D32" s="6">
        <f t="shared" si="0"/>
        <v>11.9</v>
      </c>
      <c r="E32">
        <v>12.8</v>
      </c>
      <c r="F32">
        <v>218.2</v>
      </c>
      <c r="G32" s="3">
        <f t="shared" si="1"/>
        <v>10</v>
      </c>
      <c r="H32" s="3">
        <f t="shared" si="2"/>
        <v>5</v>
      </c>
      <c r="I32" s="3">
        <f t="shared" si="3"/>
        <v>3</v>
      </c>
      <c r="J32" s="3">
        <f t="shared" si="4"/>
        <v>0</v>
      </c>
      <c r="K32" s="3">
        <f t="shared" si="5"/>
        <v>17</v>
      </c>
      <c r="L32">
        <v>26</v>
      </c>
      <c r="M32">
        <v>6.6</v>
      </c>
      <c r="N32">
        <v>7</v>
      </c>
      <c r="O32">
        <v>8.1999999999999993</v>
      </c>
      <c r="P32">
        <v>12.9</v>
      </c>
      <c r="Q32" t="s">
        <v>7</v>
      </c>
      <c r="R32">
        <v>2.2999999999999998</v>
      </c>
      <c r="S32">
        <v>13.2</v>
      </c>
      <c r="T32">
        <v>12</v>
      </c>
      <c r="U32">
        <v>11.7</v>
      </c>
      <c r="V32">
        <v>19.100000000000001</v>
      </c>
      <c r="W32">
        <v>9.8000000000000007</v>
      </c>
      <c r="X32">
        <v>20.3</v>
      </c>
      <c r="Y32">
        <v>28.1</v>
      </c>
      <c r="Z32">
        <v>5.6</v>
      </c>
      <c r="AA32">
        <v>11.9</v>
      </c>
      <c r="AB32">
        <v>19.5</v>
      </c>
      <c r="AC32">
        <v>4</v>
      </c>
    </row>
    <row r="33" spans="1:32" x14ac:dyDescent="0.25">
      <c r="A33">
        <v>165</v>
      </c>
      <c r="B33" t="s">
        <v>270</v>
      </c>
      <c r="C33" t="s">
        <v>60</v>
      </c>
      <c r="D33" s="6">
        <f t="shared" si="0"/>
        <v>11.9</v>
      </c>
      <c r="E33">
        <v>11.9</v>
      </c>
      <c r="F33">
        <v>11.9</v>
      </c>
      <c r="G33" s="3">
        <f t="shared" si="1"/>
        <v>1</v>
      </c>
      <c r="H33" s="3">
        <f t="shared" si="2"/>
        <v>0</v>
      </c>
      <c r="I33" s="3">
        <f t="shared" si="3"/>
        <v>0</v>
      </c>
      <c r="J33" s="3">
        <f t="shared" si="4"/>
        <v>0</v>
      </c>
      <c r="K33" s="3">
        <f t="shared" si="5"/>
        <v>1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t="s">
        <v>8</v>
      </c>
      <c r="R33" t="s">
        <v>8</v>
      </c>
      <c r="S33" t="s">
        <v>8</v>
      </c>
      <c r="T33" t="s">
        <v>8</v>
      </c>
      <c r="U33" t="s">
        <v>8</v>
      </c>
      <c r="V33" t="s">
        <v>8</v>
      </c>
      <c r="W33" t="s">
        <v>8</v>
      </c>
      <c r="X33" t="s">
        <v>8</v>
      </c>
      <c r="Y33" t="s">
        <v>7</v>
      </c>
      <c r="Z33" t="s">
        <v>8</v>
      </c>
      <c r="AA33" t="s">
        <v>8</v>
      </c>
      <c r="AB33" t="s">
        <v>8</v>
      </c>
      <c r="AC33">
        <v>11.9</v>
      </c>
    </row>
    <row r="34" spans="1:32" x14ac:dyDescent="0.25">
      <c r="A34">
        <v>37</v>
      </c>
      <c r="B34" t="s">
        <v>153</v>
      </c>
      <c r="C34" t="s">
        <v>22</v>
      </c>
      <c r="D34" s="6">
        <f t="shared" si="0"/>
        <v>11.8</v>
      </c>
      <c r="E34">
        <v>12.2</v>
      </c>
      <c r="F34">
        <v>182.5</v>
      </c>
      <c r="G34" s="3">
        <f t="shared" si="1"/>
        <v>11</v>
      </c>
      <c r="H34" s="3">
        <f t="shared" si="2"/>
        <v>5</v>
      </c>
      <c r="I34" s="3">
        <f t="shared" si="3"/>
        <v>1</v>
      </c>
      <c r="J34" s="3">
        <f t="shared" si="4"/>
        <v>0</v>
      </c>
      <c r="K34" s="3">
        <f t="shared" si="5"/>
        <v>15</v>
      </c>
      <c r="L34">
        <v>13.2</v>
      </c>
      <c r="M34">
        <v>10.6</v>
      </c>
      <c r="N34">
        <v>19.2</v>
      </c>
      <c r="O34">
        <v>10.199999999999999</v>
      </c>
      <c r="P34" t="s">
        <v>8</v>
      </c>
      <c r="Q34">
        <v>3.9</v>
      </c>
      <c r="R34">
        <v>13.5</v>
      </c>
      <c r="S34">
        <v>19.899999999999999</v>
      </c>
      <c r="T34">
        <v>11</v>
      </c>
      <c r="U34">
        <v>11.8</v>
      </c>
      <c r="V34">
        <v>15</v>
      </c>
      <c r="W34" t="s">
        <v>7</v>
      </c>
      <c r="X34">
        <v>7</v>
      </c>
      <c r="Y34">
        <v>21.6</v>
      </c>
      <c r="Z34">
        <v>15.9</v>
      </c>
      <c r="AA34">
        <v>4.2</v>
      </c>
      <c r="AB34">
        <v>5.5</v>
      </c>
      <c r="AC34" t="s">
        <v>8</v>
      </c>
    </row>
    <row r="35" spans="1:32" x14ac:dyDescent="0.25">
      <c r="A35">
        <v>52</v>
      </c>
      <c r="B35" t="s">
        <v>166</v>
      </c>
      <c r="C35" t="s">
        <v>36</v>
      </c>
      <c r="D35" s="6">
        <f t="shared" si="0"/>
        <v>11.55</v>
      </c>
      <c r="E35">
        <v>14</v>
      </c>
      <c r="F35">
        <v>139.5</v>
      </c>
      <c r="G35" s="3">
        <f t="shared" si="1"/>
        <v>6</v>
      </c>
      <c r="H35" s="3">
        <f t="shared" si="2"/>
        <v>4</v>
      </c>
      <c r="I35" s="3">
        <f t="shared" si="3"/>
        <v>2</v>
      </c>
      <c r="J35" s="3">
        <f t="shared" si="4"/>
        <v>0</v>
      </c>
      <c r="K35" s="3">
        <f t="shared" si="5"/>
        <v>10</v>
      </c>
      <c r="L35">
        <v>7.9</v>
      </c>
      <c r="M35">
        <v>4</v>
      </c>
      <c r="N35">
        <v>13</v>
      </c>
      <c r="O35" t="s">
        <v>8</v>
      </c>
      <c r="P35" t="s">
        <v>8</v>
      </c>
      <c r="Q35" t="s">
        <v>8</v>
      </c>
      <c r="R35" t="s">
        <v>8</v>
      </c>
      <c r="S35" t="s">
        <v>8</v>
      </c>
      <c r="T35" t="s">
        <v>8</v>
      </c>
      <c r="U35" t="s">
        <v>8</v>
      </c>
      <c r="V35" t="s">
        <v>7</v>
      </c>
      <c r="W35">
        <v>8.6999999999999993</v>
      </c>
      <c r="X35">
        <v>23.9</v>
      </c>
      <c r="Y35">
        <v>19.2</v>
      </c>
      <c r="Z35">
        <v>10.1</v>
      </c>
      <c r="AA35">
        <v>15.3</v>
      </c>
      <c r="AB35">
        <v>28</v>
      </c>
      <c r="AC35">
        <v>9.4</v>
      </c>
    </row>
    <row r="36" spans="1:32" x14ac:dyDescent="0.25">
      <c r="A36">
        <v>24</v>
      </c>
      <c r="B36" t="s">
        <v>140</v>
      </c>
      <c r="C36" t="s">
        <v>76</v>
      </c>
      <c r="D36" s="6">
        <f t="shared" si="0"/>
        <v>11.4</v>
      </c>
      <c r="E36">
        <v>14</v>
      </c>
      <c r="F36">
        <v>210.5</v>
      </c>
      <c r="G36" s="3">
        <f t="shared" si="1"/>
        <v>8</v>
      </c>
      <c r="H36" s="3">
        <f t="shared" si="2"/>
        <v>4</v>
      </c>
      <c r="I36" s="3">
        <f t="shared" si="3"/>
        <v>3</v>
      </c>
      <c r="J36" s="3">
        <f t="shared" si="4"/>
        <v>1</v>
      </c>
      <c r="K36" s="3">
        <f t="shared" si="5"/>
        <v>15</v>
      </c>
      <c r="L36">
        <v>11.4</v>
      </c>
      <c r="M36">
        <v>5.7</v>
      </c>
      <c r="N36">
        <v>46.5</v>
      </c>
      <c r="O36">
        <v>11.8</v>
      </c>
      <c r="P36">
        <v>2.2999999999999998</v>
      </c>
      <c r="Q36">
        <v>5.7</v>
      </c>
      <c r="R36" t="s">
        <v>8</v>
      </c>
      <c r="S36" t="s">
        <v>8</v>
      </c>
      <c r="T36" t="s">
        <v>7</v>
      </c>
      <c r="U36">
        <v>16.3</v>
      </c>
      <c r="V36">
        <v>25.1</v>
      </c>
      <c r="W36">
        <v>9</v>
      </c>
      <c r="X36">
        <v>8.6</v>
      </c>
      <c r="Y36">
        <v>28</v>
      </c>
      <c r="Z36">
        <v>5.0999999999999996</v>
      </c>
      <c r="AA36">
        <v>9.1</v>
      </c>
      <c r="AB36">
        <v>13.7</v>
      </c>
      <c r="AC36">
        <v>12.2</v>
      </c>
    </row>
    <row r="37" spans="1:32" x14ac:dyDescent="0.25">
      <c r="A37">
        <v>31</v>
      </c>
      <c r="B37" t="s">
        <v>146</v>
      </c>
      <c r="C37" t="s">
        <v>14</v>
      </c>
      <c r="D37" s="6">
        <f t="shared" si="0"/>
        <v>11.399999999999999</v>
      </c>
      <c r="E37">
        <v>12.1</v>
      </c>
      <c r="F37">
        <v>193.2</v>
      </c>
      <c r="G37" s="3">
        <f t="shared" si="1"/>
        <v>8</v>
      </c>
      <c r="H37" s="3">
        <f t="shared" si="2"/>
        <v>5</v>
      </c>
      <c r="I37" s="3">
        <f t="shared" si="3"/>
        <v>2</v>
      </c>
      <c r="J37" s="3">
        <f t="shared" si="4"/>
        <v>1</v>
      </c>
      <c r="K37" s="3">
        <f t="shared" si="5"/>
        <v>16</v>
      </c>
      <c r="L37">
        <v>2.5</v>
      </c>
      <c r="M37">
        <v>17.8</v>
      </c>
      <c r="N37">
        <v>14.6</v>
      </c>
      <c r="O37">
        <v>8.6</v>
      </c>
      <c r="P37">
        <v>31.5</v>
      </c>
      <c r="Q37">
        <v>6.8</v>
      </c>
      <c r="R37">
        <v>9.6</v>
      </c>
      <c r="S37">
        <v>18.600000000000001</v>
      </c>
      <c r="T37">
        <v>19.8</v>
      </c>
      <c r="U37">
        <v>14.6</v>
      </c>
      <c r="V37">
        <v>4.7</v>
      </c>
      <c r="W37" t="s">
        <v>7</v>
      </c>
      <c r="X37">
        <v>5</v>
      </c>
      <c r="Y37">
        <v>20.2</v>
      </c>
      <c r="Z37">
        <v>0</v>
      </c>
      <c r="AA37">
        <v>13.2</v>
      </c>
      <c r="AB37">
        <v>5.7</v>
      </c>
      <c r="AC37" t="s">
        <v>8</v>
      </c>
    </row>
    <row r="38" spans="1:32" x14ac:dyDescent="0.25">
      <c r="A38">
        <v>25</v>
      </c>
      <c r="B38" t="s">
        <v>139</v>
      </c>
      <c r="C38" t="s">
        <v>12</v>
      </c>
      <c r="D38" s="6">
        <f t="shared" si="0"/>
        <v>11.2</v>
      </c>
      <c r="E38">
        <v>12.3</v>
      </c>
      <c r="F38">
        <v>209.5</v>
      </c>
      <c r="G38" s="3">
        <f t="shared" si="1"/>
        <v>11</v>
      </c>
      <c r="H38" s="3">
        <f t="shared" si="2"/>
        <v>6</v>
      </c>
      <c r="I38" s="3">
        <f t="shared" si="3"/>
        <v>3</v>
      </c>
      <c r="J38" s="3">
        <f t="shared" si="4"/>
        <v>0</v>
      </c>
      <c r="K38" s="3">
        <f t="shared" si="5"/>
        <v>17</v>
      </c>
      <c r="L38">
        <v>11.1</v>
      </c>
      <c r="M38">
        <v>22.1</v>
      </c>
      <c r="N38">
        <v>5.3</v>
      </c>
      <c r="O38">
        <v>2</v>
      </c>
      <c r="P38">
        <v>19</v>
      </c>
      <c r="Q38">
        <v>22.4</v>
      </c>
      <c r="R38">
        <v>4</v>
      </c>
      <c r="S38">
        <v>18.5</v>
      </c>
      <c r="T38">
        <v>29.7</v>
      </c>
      <c r="U38">
        <v>7.4</v>
      </c>
      <c r="V38">
        <v>11.9</v>
      </c>
      <c r="W38">
        <v>11.2</v>
      </c>
      <c r="X38">
        <v>10.1</v>
      </c>
      <c r="Y38" t="s">
        <v>7</v>
      </c>
      <c r="Z38">
        <v>11.3</v>
      </c>
      <c r="AA38">
        <v>15.3</v>
      </c>
      <c r="AB38">
        <v>5.0999999999999996</v>
      </c>
      <c r="AC38">
        <v>3.1</v>
      </c>
    </row>
    <row r="39" spans="1:32" x14ac:dyDescent="0.25">
      <c r="A39">
        <v>42</v>
      </c>
      <c r="B39" t="s">
        <v>157</v>
      </c>
      <c r="C39" t="s">
        <v>64</v>
      </c>
      <c r="D39" s="6">
        <f t="shared" si="0"/>
        <v>11.05</v>
      </c>
      <c r="E39">
        <v>11.7</v>
      </c>
      <c r="F39">
        <v>164.4</v>
      </c>
      <c r="G39" s="3">
        <f t="shared" si="1"/>
        <v>8</v>
      </c>
      <c r="H39" s="3">
        <f t="shared" si="2"/>
        <v>5</v>
      </c>
      <c r="I39" s="3">
        <f t="shared" si="3"/>
        <v>2</v>
      </c>
      <c r="J39" s="3">
        <f t="shared" si="4"/>
        <v>0</v>
      </c>
      <c r="K39" s="3">
        <f t="shared" si="5"/>
        <v>14</v>
      </c>
      <c r="L39">
        <v>13.5</v>
      </c>
      <c r="M39">
        <v>4.9000000000000004</v>
      </c>
      <c r="N39">
        <v>10.7</v>
      </c>
      <c r="O39">
        <v>16.3</v>
      </c>
      <c r="P39">
        <v>5.6</v>
      </c>
      <c r="Q39">
        <v>8.3000000000000007</v>
      </c>
      <c r="R39">
        <v>22.1</v>
      </c>
      <c r="S39">
        <v>11.4</v>
      </c>
      <c r="T39" t="s">
        <v>8</v>
      </c>
      <c r="U39">
        <v>20.5</v>
      </c>
      <c r="V39">
        <v>16.899999999999999</v>
      </c>
      <c r="W39">
        <v>8.8000000000000007</v>
      </c>
      <c r="X39">
        <v>16.399999999999999</v>
      </c>
      <c r="Y39" t="s">
        <v>8</v>
      </c>
      <c r="Z39" t="s">
        <v>8</v>
      </c>
      <c r="AA39" t="s">
        <v>8</v>
      </c>
      <c r="AB39">
        <v>8</v>
      </c>
      <c r="AC39">
        <v>1</v>
      </c>
    </row>
    <row r="40" spans="1:32" x14ac:dyDescent="0.25">
      <c r="A40">
        <v>29</v>
      </c>
      <c r="B40" t="s">
        <v>141</v>
      </c>
      <c r="C40" t="s">
        <v>16</v>
      </c>
      <c r="D40" s="6">
        <f t="shared" si="0"/>
        <v>10.9</v>
      </c>
      <c r="E40">
        <v>11.6</v>
      </c>
      <c r="F40">
        <v>197</v>
      </c>
      <c r="G40" s="3">
        <f t="shared" si="1"/>
        <v>9</v>
      </c>
      <c r="H40" s="3">
        <f t="shared" si="2"/>
        <v>4</v>
      </c>
      <c r="I40" s="3">
        <f t="shared" si="3"/>
        <v>2</v>
      </c>
      <c r="J40" s="3">
        <f t="shared" si="4"/>
        <v>1</v>
      </c>
      <c r="K40" s="3">
        <f t="shared" si="5"/>
        <v>17</v>
      </c>
      <c r="L40">
        <v>33.1</v>
      </c>
      <c r="M40">
        <v>6.6</v>
      </c>
      <c r="N40">
        <v>10.9</v>
      </c>
      <c r="O40">
        <v>27.1</v>
      </c>
      <c r="P40">
        <v>13.7</v>
      </c>
      <c r="Q40">
        <v>14.8</v>
      </c>
      <c r="R40">
        <v>3</v>
      </c>
      <c r="S40">
        <v>7.5</v>
      </c>
      <c r="T40">
        <v>16.3</v>
      </c>
      <c r="U40" t="s">
        <v>7</v>
      </c>
      <c r="V40">
        <v>9.8000000000000007</v>
      </c>
      <c r="W40">
        <v>5.6</v>
      </c>
      <c r="X40">
        <v>19.7</v>
      </c>
      <c r="Y40">
        <v>0</v>
      </c>
      <c r="Z40">
        <v>11.1</v>
      </c>
      <c r="AA40">
        <v>11.1</v>
      </c>
      <c r="AB40">
        <v>1.6</v>
      </c>
      <c r="AC40">
        <v>5.0999999999999996</v>
      </c>
    </row>
    <row r="41" spans="1:32" x14ac:dyDescent="0.25">
      <c r="A41">
        <v>32</v>
      </c>
      <c r="B41" t="s">
        <v>147</v>
      </c>
      <c r="C41" t="s">
        <v>78</v>
      </c>
      <c r="D41" s="6">
        <f t="shared" si="0"/>
        <v>10.6</v>
      </c>
      <c r="E41">
        <v>12.7</v>
      </c>
      <c r="F41">
        <v>191.2</v>
      </c>
      <c r="G41" s="3">
        <f t="shared" si="1"/>
        <v>8</v>
      </c>
      <c r="H41" s="3">
        <f t="shared" si="2"/>
        <v>4</v>
      </c>
      <c r="I41" s="3">
        <f t="shared" si="3"/>
        <v>2</v>
      </c>
      <c r="J41" s="3">
        <f t="shared" si="4"/>
        <v>0</v>
      </c>
      <c r="K41" s="3">
        <f t="shared" si="5"/>
        <v>15</v>
      </c>
      <c r="L41">
        <v>5.9</v>
      </c>
      <c r="M41">
        <v>28.9</v>
      </c>
      <c r="N41">
        <v>20.399999999999999</v>
      </c>
      <c r="O41">
        <v>15.4</v>
      </c>
      <c r="P41">
        <v>7.5</v>
      </c>
      <c r="Q41">
        <v>7.8</v>
      </c>
      <c r="R41">
        <v>19.899999999999999</v>
      </c>
      <c r="S41" t="s">
        <v>8</v>
      </c>
      <c r="T41" t="s">
        <v>7</v>
      </c>
      <c r="U41" t="s">
        <v>8</v>
      </c>
      <c r="V41">
        <v>14</v>
      </c>
      <c r="W41">
        <v>9.9</v>
      </c>
      <c r="X41">
        <v>10.6</v>
      </c>
      <c r="Y41">
        <v>8.9</v>
      </c>
      <c r="Z41">
        <v>5.8</v>
      </c>
      <c r="AA41">
        <v>14.7</v>
      </c>
      <c r="AB41">
        <v>7.2</v>
      </c>
      <c r="AC41">
        <v>14.3</v>
      </c>
    </row>
    <row r="42" spans="1:32" x14ac:dyDescent="0.25">
      <c r="A42">
        <v>33</v>
      </c>
      <c r="B42" t="s">
        <v>148</v>
      </c>
      <c r="C42" t="s">
        <v>62</v>
      </c>
      <c r="D42" s="6">
        <f t="shared" si="0"/>
        <v>10.4</v>
      </c>
      <c r="E42">
        <v>11</v>
      </c>
      <c r="F42">
        <v>187.2</v>
      </c>
      <c r="G42" s="3">
        <f t="shared" si="1"/>
        <v>9</v>
      </c>
      <c r="H42" s="3">
        <f t="shared" si="2"/>
        <v>6</v>
      </c>
      <c r="I42" s="3">
        <f t="shared" si="3"/>
        <v>3</v>
      </c>
      <c r="J42" s="3">
        <f t="shared" si="4"/>
        <v>0</v>
      </c>
      <c r="K42" s="3">
        <f t="shared" si="5"/>
        <v>17</v>
      </c>
      <c r="L42">
        <v>20.8</v>
      </c>
      <c r="M42">
        <v>4.2</v>
      </c>
      <c r="N42">
        <v>5</v>
      </c>
      <c r="O42">
        <v>16.3</v>
      </c>
      <c r="P42">
        <v>11.8</v>
      </c>
      <c r="Q42" t="s">
        <v>7</v>
      </c>
      <c r="R42">
        <v>5.4</v>
      </c>
      <c r="S42">
        <v>13.7</v>
      </c>
      <c r="T42">
        <v>-1</v>
      </c>
      <c r="U42">
        <v>2.1</v>
      </c>
      <c r="V42">
        <v>16.8</v>
      </c>
      <c r="W42">
        <v>9.1</v>
      </c>
      <c r="X42">
        <v>10.4</v>
      </c>
      <c r="Y42">
        <v>9.6</v>
      </c>
      <c r="Z42">
        <v>19.600000000000001</v>
      </c>
      <c r="AA42">
        <v>20.5</v>
      </c>
      <c r="AB42">
        <v>22.9</v>
      </c>
      <c r="AC42">
        <v>0</v>
      </c>
    </row>
    <row r="43" spans="1:32" x14ac:dyDescent="0.25">
      <c r="A43">
        <v>39</v>
      </c>
      <c r="B43" t="s">
        <v>152</v>
      </c>
      <c r="C43" t="s">
        <v>45</v>
      </c>
      <c r="D43" s="6">
        <f t="shared" si="0"/>
        <v>10.4</v>
      </c>
      <c r="E43">
        <v>11.6</v>
      </c>
      <c r="F43">
        <v>174.7</v>
      </c>
      <c r="G43" s="3">
        <f t="shared" si="1"/>
        <v>8</v>
      </c>
      <c r="H43" s="3">
        <f t="shared" si="2"/>
        <v>5</v>
      </c>
      <c r="I43" s="3">
        <f t="shared" si="3"/>
        <v>3</v>
      </c>
      <c r="J43" s="3">
        <f t="shared" si="4"/>
        <v>1</v>
      </c>
      <c r="K43" s="3">
        <f t="shared" si="5"/>
        <v>15</v>
      </c>
      <c r="L43">
        <v>6.8</v>
      </c>
      <c r="M43">
        <v>22.1</v>
      </c>
      <c r="N43">
        <v>12.4</v>
      </c>
      <c r="O43">
        <v>2.2999999999999998</v>
      </c>
      <c r="P43" t="s">
        <v>7</v>
      </c>
      <c r="Q43">
        <v>5.2</v>
      </c>
      <c r="R43" t="s">
        <v>8</v>
      </c>
      <c r="S43" t="s">
        <v>8</v>
      </c>
      <c r="T43">
        <v>22</v>
      </c>
      <c r="U43">
        <v>10.4</v>
      </c>
      <c r="V43">
        <v>12.8</v>
      </c>
      <c r="W43">
        <v>0</v>
      </c>
      <c r="X43">
        <v>3.2</v>
      </c>
      <c r="Y43">
        <v>15.8</v>
      </c>
      <c r="Z43">
        <v>15.5</v>
      </c>
      <c r="AA43">
        <v>4.8</v>
      </c>
      <c r="AB43">
        <v>9.8000000000000007</v>
      </c>
      <c r="AC43">
        <v>31.6</v>
      </c>
      <c r="AF43" s="3">
        <f>MEDIAN(L12:AC46)</f>
        <v>13</v>
      </c>
    </row>
    <row r="44" spans="1:32" x14ac:dyDescent="0.25">
      <c r="A44">
        <v>28</v>
      </c>
      <c r="B44" t="s">
        <v>142</v>
      </c>
      <c r="C44" t="s">
        <v>47</v>
      </c>
      <c r="D44" s="6">
        <f t="shared" si="0"/>
        <v>10.3</v>
      </c>
      <c r="E44">
        <v>11.7</v>
      </c>
      <c r="F44">
        <v>199.2</v>
      </c>
      <c r="G44" s="3">
        <f t="shared" si="1"/>
        <v>9</v>
      </c>
      <c r="H44" s="3">
        <f t="shared" si="2"/>
        <v>4</v>
      </c>
      <c r="I44" s="3">
        <f t="shared" si="3"/>
        <v>3</v>
      </c>
      <c r="J44" s="3">
        <f t="shared" si="4"/>
        <v>0</v>
      </c>
      <c r="K44" s="3">
        <f t="shared" si="5"/>
        <v>17</v>
      </c>
      <c r="L44">
        <v>8</v>
      </c>
      <c r="M44">
        <v>24.7</v>
      </c>
      <c r="N44">
        <v>1.9</v>
      </c>
      <c r="O44">
        <v>2.5</v>
      </c>
      <c r="P44" t="s">
        <v>7</v>
      </c>
      <c r="Q44">
        <v>0.9</v>
      </c>
      <c r="R44">
        <v>7.2</v>
      </c>
      <c r="S44">
        <v>22.6</v>
      </c>
      <c r="T44">
        <v>12.3</v>
      </c>
      <c r="U44">
        <v>25.4</v>
      </c>
      <c r="V44">
        <v>9.8000000000000007</v>
      </c>
      <c r="W44">
        <v>14.3</v>
      </c>
      <c r="X44">
        <v>6.5</v>
      </c>
      <c r="Y44">
        <v>12.9</v>
      </c>
      <c r="Z44">
        <v>9</v>
      </c>
      <c r="AA44">
        <v>16.8</v>
      </c>
      <c r="AB44">
        <v>14.1</v>
      </c>
      <c r="AC44">
        <v>10.3</v>
      </c>
    </row>
    <row r="45" spans="1:32" x14ac:dyDescent="0.25">
      <c r="A45">
        <v>59</v>
      </c>
      <c r="B45" t="s">
        <v>174</v>
      </c>
      <c r="C45" t="s">
        <v>40</v>
      </c>
      <c r="D45" s="6">
        <f t="shared" si="0"/>
        <v>10.3</v>
      </c>
      <c r="E45">
        <v>10.5</v>
      </c>
      <c r="F45">
        <v>126</v>
      </c>
      <c r="G45" s="3">
        <f t="shared" si="1"/>
        <v>6</v>
      </c>
      <c r="H45" s="3">
        <f t="shared" si="2"/>
        <v>3</v>
      </c>
      <c r="I45" s="3">
        <f t="shared" si="3"/>
        <v>2</v>
      </c>
      <c r="J45" s="3">
        <f t="shared" si="4"/>
        <v>0</v>
      </c>
      <c r="K45" s="3">
        <f t="shared" si="5"/>
        <v>12</v>
      </c>
      <c r="L45">
        <v>26.9</v>
      </c>
      <c r="M45">
        <v>3.1</v>
      </c>
      <c r="N45">
        <v>13.8</v>
      </c>
      <c r="O45">
        <v>10.8</v>
      </c>
      <c r="P45">
        <v>13.4</v>
      </c>
      <c r="Q45">
        <v>23.4</v>
      </c>
      <c r="R45">
        <v>9.8000000000000007</v>
      </c>
      <c r="S45" t="s">
        <v>8</v>
      </c>
      <c r="T45" t="s">
        <v>8</v>
      </c>
      <c r="U45" t="s">
        <v>8</v>
      </c>
      <c r="V45" t="s">
        <v>8</v>
      </c>
      <c r="W45" t="s">
        <v>7</v>
      </c>
      <c r="X45" t="s">
        <v>8</v>
      </c>
      <c r="Y45">
        <v>2.8</v>
      </c>
      <c r="Z45">
        <v>0</v>
      </c>
      <c r="AA45">
        <v>4</v>
      </c>
      <c r="AB45">
        <v>1.9</v>
      </c>
      <c r="AC45">
        <v>16.100000000000001</v>
      </c>
    </row>
    <row r="46" spans="1:32" x14ac:dyDescent="0.25">
      <c r="A46">
        <v>75</v>
      </c>
      <c r="B46" t="s">
        <v>193</v>
      </c>
      <c r="C46" t="s">
        <v>50</v>
      </c>
      <c r="D46" s="6">
        <f t="shared" si="0"/>
        <v>10.1</v>
      </c>
      <c r="E46">
        <v>8.1999999999999993</v>
      </c>
      <c r="F46">
        <v>106.5</v>
      </c>
      <c r="G46" s="3">
        <f t="shared" si="1"/>
        <v>7</v>
      </c>
      <c r="H46" s="3">
        <f t="shared" si="2"/>
        <v>1</v>
      </c>
      <c r="I46" s="3">
        <f t="shared" si="3"/>
        <v>0</v>
      </c>
      <c r="J46" s="3">
        <f t="shared" si="4"/>
        <v>0</v>
      </c>
      <c r="K46" s="3">
        <f t="shared" si="5"/>
        <v>13</v>
      </c>
      <c r="L46">
        <v>11.9</v>
      </c>
      <c r="M46" t="s">
        <v>8</v>
      </c>
      <c r="N46" t="s">
        <v>8</v>
      </c>
      <c r="O46" t="s">
        <v>8</v>
      </c>
      <c r="P46" t="s">
        <v>8</v>
      </c>
      <c r="Q46">
        <v>11.8</v>
      </c>
      <c r="R46">
        <v>3</v>
      </c>
      <c r="S46">
        <v>5.8</v>
      </c>
      <c r="T46">
        <v>3.1</v>
      </c>
      <c r="U46">
        <v>13.9</v>
      </c>
      <c r="V46">
        <v>10.6</v>
      </c>
      <c r="W46">
        <v>14</v>
      </c>
      <c r="X46">
        <v>2.6</v>
      </c>
      <c r="Y46" t="s">
        <v>7</v>
      </c>
      <c r="Z46">
        <v>0</v>
      </c>
      <c r="AA46">
        <v>10.1</v>
      </c>
      <c r="AB46">
        <v>4.7</v>
      </c>
      <c r="AC46">
        <v>15</v>
      </c>
    </row>
    <row r="47" spans="1:32" x14ac:dyDescent="0.25">
      <c r="A47">
        <v>36</v>
      </c>
      <c r="B47" t="s">
        <v>156</v>
      </c>
      <c r="C47" t="s">
        <v>55</v>
      </c>
      <c r="D47" s="6">
        <f t="shared" si="0"/>
        <v>10</v>
      </c>
      <c r="E47">
        <v>10.7</v>
      </c>
      <c r="F47">
        <v>182.7</v>
      </c>
      <c r="G47" s="3">
        <f t="shared" si="1"/>
        <v>9</v>
      </c>
      <c r="H47" s="3">
        <f t="shared" si="2"/>
        <v>3</v>
      </c>
      <c r="I47" s="3">
        <f t="shared" si="3"/>
        <v>0</v>
      </c>
      <c r="J47" s="3">
        <f t="shared" si="4"/>
        <v>0</v>
      </c>
      <c r="K47" s="3">
        <f t="shared" si="5"/>
        <v>17</v>
      </c>
      <c r="L47">
        <v>11.8</v>
      </c>
      <c r="M47">
        <v>9.8000000000000007</v>
      </c>
      <c r="N47">
        <v>13.1</v>
      </c>
      <c r="O47">
        <v>18.100000000000001</v>
      </c>
      <c r="P47">
        <v>16</v>
      </c>
      <c r="Q47">
        <v>10</v>
      </c>
      <c r="R47">
        <v>8.3000000000000007</v>
      </c>
      <c r="S47">
        <v>8</v>
      </c>
      <c r="T47">
        <v>4</v>
      </c>
      <c r="U47">
        <v>10.1</v>
      </c>
      <c r="V47" t="s">
        <v>7</v>
      </c>
      <c r="W47">
        <v>9.6999999999999993</v>
      </c>
      <c r="X47">
        <v>2.6</v>
      </c>
      <c r="Y47">
        <v>7.8</v>
      </c>
      <c r="Z47">
        <v>7.8</v>
      </c>
      <c r="AA47">
        <v>13.2</v>
      </c>
      <c r="AB47">
        <v>18.100000000000001</v>
      </c>
      <c r="AC47">
        <v>14.3</v>
      </c>
    </row>
    <row r="48" spans="1:32" x14ac:dyDescent="0.25">
      <c r="A48">
        <v>41</v>
      </c>
      <c r="B48" t="s">
        <v>158</v>
      </c>
      <c r="C48" t="s">
        <v>24</v>
      </c>
      <c r="D48" s="6">
        <f t="shared" si="0"/>
        <v>9.4499999999999993</v>
      </c>
      <c r="E48">
        <v>10.4</v>
      </c>
      <c r="F48">
        <v>165.8</v>
      </c>
      <c r="G48" s="3">
        <f t="shared" si="1"/>
        <v>6</v>
      </c>
      <c r="H48" s="3">
        <f t="shared" si="2"/>
        <v>3</v>
      </c>
      <c r="I48" s="3">
        <f t="shared" si="3"/>
        <v>1</v>
      </c>
      <c r="J48" s="3">
        <f t="shared" si="4"/>
        <v>0</v>
      </c>
      <c r="K48" s="3">
        <f t="shared" si="5"/>
        <v>16</v>
      </c>
      <c r="L48">
        <v>7.1</v>
      </c>
      <c r="M48">
        <v>5.0999999999999996</v>
      </c>
      <c r="N48">
        <v>7.6</v>
      </c>
      <c r="O48">
        <v>17.3</v>
      </c>
      <c r="P48">
        <v>14.7</v>
      </c>
      <c r="Q48">
        <v>12.5</v>
      </c>
      <c r="R48">
        <v>9.3000000000000007</v>
      </c>
      <c r="S48">
        <v>2.6</v>
      </c>
      <c r="T48">
        <v>2.4</v>
      </c>
      <c r="U48" t="s">
        <v>8</v>
      </c>
      <c r="V48">
        <v>9.6</v>
      </c>
      <c r="W48">
        <v>15.6</v>
      </c>
      <c r="X48">
        <v>9.1999999999999993</v>
      </c>
      <c r="Y48" t="s">
        <v>7</v>
      </c>
      <c r="Z48">
        <v>9.8000000000000007</v>
      </c>
      <c r="AA48">
        <v>3.9</v>
      </c>
      <c r="AB48">
        <v>25.9</v>
      </c>
      <c r="AC48">
        <v>13.2</v>
      </c>
    </row>
    <row r="49" spans="1:33" x14ac:dyDescent="0.25">
      <c r="A49">
        <v>51</v>
      </c>
      <c r="B49" t="s">
        <v>168</v>
      </c>
      <c r="C49" t="s">
        <v>32</v>
      </c>
      <c r="D49" s="6">
        <f t="shared" si="0"/>
        <v>9.3500000000000014</v>
      </c>
      <c r="E49">
        <v>10</v>
      </c>
      <c r="F49">
        <v>140</v>
      </c>
      <c r="G49" s="3">
        <f t="shared" si="1"/>
        <v>6</v>
      </c>
      <c r="H49" s="3">
        <f t="shared" si="2"/>
        <v>3</v>
      </c>
      <c r="I49" s="3">
        <f t="shared" si="3"/>
        <v>1</v>
      </c>
      <c r="J49" s="3">
        <f t="shared" si="4"/>
        <v>0</v>
      </c>
      <c r="K49" s="3">
        <f t="shared" si="5"/>
        <v>14</v>
      </c>
      <c r="L49">
        <v>8.9</v>
      </c>
      <c r="M49">
        <v>2.2999999999999998</v>
      </c>
      <c r="N49">
        <v>11.2</v>
      </c>
      <c r="O49" t="s">
        <v>8</v>
      </c>
      <c r="P49">
        <v>7.3</v>
      </c>
      <c r="Q49">
        <v>18.7</v>
      </c>
      <c r="R49">
        <v>0</v>
      </c>
      <c r="S49">
        <v>13.5</v>
      </c>
      <c r="T49">
        <v>18.600000000000001</v>
      </c>
      <c r="U49">
        <v>8.3000000000000007</v>
      </c>
      <c r="V49">
        <v>9.8000000000000007</v>
      </c>
      <c r="W49">
        <v>10.199999999999999</v>
      </c>
      <c r="X49">
        <v>3.3</v>
      </c>
      <c r="Y49" t="s">
        <v>7</v>
      </c>
      <c r="Z49">
        <v>6.1</v>
      </c>
      <c r="AA49">
        <v>21.8</v>
      </c>
      <c r="AB49" t="s">
        <v>8</v>
      </c>
      <c r="AC49" t="s">
        <v>8</v>
      </c>
    </row>
    <row r="50" spans="1:33" x14ac:dyDescent="0.25">
      <c r="A50">
        <v>55</v>
      </c>
      <c r="B50" t="s">
        <v>165</v>
      </c>
      <c r="C50" t="s">
        <v>34</v>
      </c>
      <c r="D50" s="6">
        <f t="shared" si="0"/>
        <v>9.1999999999999993</v>
      </c>
      <c r="E50">
        <v>10.4</v>
      </c>
      <c r="F50">
        <v>135.4</v>
      </c>
      <c r="G50" s="3">
        <f t="shared" si="1"/>
        <v>6</v>
      </c>
      <c r="H50" s="3">
        <f t="shared" si="2"/>
        <v>5</v>
      </c>
      <c r="I50" s="3">
        <f t="shared" si="3"/>
        <v>2</v>
      </c>
      <c r="J50" s="3">
        <f t="shared" si="4"/>
        <v>0</v>
      </c>
      <c r="K50" s="3">
        <f t="shared" si="5"/>
        <v>13</v>
      </c>
      <c r="L50">
        <v>10.199999999999999</v>
      </c>
      <c r="M50">
        <v>3.1</v>
      </c>
      <c r="N50">
        <v>1.6</v>
      </c>
      <c r="O50" t="s">
        <v>8</v>
      </c>
      <c r="P50" t="s">
        <v>8</v>
      </c>
      <c r="Q50">
        <v>0</v>
      </c>
      <c r="R50">
        <v>5.6</v>
      </c>
      <c r="S50">
        <v>9.1999999999999993</v>
      </c>
      <c r="T50" t="s">
        <v>8</v>
      </c>
      <c r="U50" t="s">
        <v>8</v>
      </c>
      <c r="V50" t="s">
        <v>7</v>
      </c>
      <c r="W50">
        <v>2.1</v>
      </c>
      <c r="X50">
        <v>4.5</v>
      </c>
      <c r="Y50">
        <v>21.9</v>
      </c>
      <c r="Z50">
        <v>18.5</v>
      </c>
      <c r="AA50">
        <v>16.7</v>
      </c>
      <c r="AB50">
        <v>23</v>
      </c>
      <c r="AC50">
        <v>19</v>
      </c>
    </row>
    <row r="51" spans="1:33" x14ac:dyDescent="0.25">
      <c r="A51">
        <v>44</v>
      </c>
      <c r="B51" t="s">
        <v>159</v>
      </c>
      <c r="C51" t="s">
        <v>60</v>
      </c>
      <c r="D51" s="6">
        <f t="shared" si="0"/>
        <v>9.1</v>
      </c>
      <c r="E51">
        <v>10.199999999999999</v>
      </c>
      <c r="F51">
        <v>153.6</v>
      </c>
      <c r="G51" s="3">
        <f t="shared" si="1"/>
        <v>7</v>
      </c>
      <c r="H51" s="3">
        <f t="shared" si="2"/>
        <v>4</v>
      </c>
      <c r="I51" s="3">
        <f t="shared" si="3"/>
        <v>2</v>
      </c>
      <c r="J51" s="3">
        <f t="shared" si="4"/>
        <v>0</v>
      </c>
      <c r="K51" s="3">
        <f t="shared" si="5"/>
        <v>15</v>
      </c>
      <c r="L51">
        <v>18.7</v>
      </c>
      <c r="M51">
        <v>18</v>
      </c>
      <c r="N51" t="s">
        <v>8</v>
      </c>
      <c r="O51">
        <v>10.199999999999999</v>
      </c>
      <c r="P51">
        <v>3</v>
      </c>
      <c r="Q51">
        <v>20.7</v>
      </c>
      <c r="R51">
        <v>0</v>
      </c>
      <c r="S51">
        <v>12.6</v>
      </c>
      <c r="T51" t="s">
        <v>8</v>
      </c>
      <c r="U51">
        <v>12.6</v>
      </c>
      <c r="V51">
        <v>6.1</v>
      </c>
      <c r="W51">
        <v>3.1</v>
      </c>
      <c r="X51">
        <v>4</v>
      </c>
      <c r="Y51">
        <v>5.5</v>
      </c>
      <c r="Z51">
        <v>4.9000000000000004</v>
      </c>
      <c r="AA51">
        <v>25.1</v>
      </c>
      <c r="AB51">
        <v>9.1</v>
      </c>
      <c r="AC51" t="s">
        <v>8</v>
      </c>
    </row>
    <row r="52" spans="1:33" x14ac:dyDescent="0.25">
      <c r="A52">
        <v>146</v>
      </c>
      <c r="B52" t="s">
        <v>262</v>
      </c>
      <c r="C52" t="s">
        <v>62</v>
      </c>
      <c r="D52" s="6">
        <f t="shared" si="0"/>
        <v>9.0500000000000007</v>
      </c>
      <c r="E52">
        <v>9.1</v>
      </c>
      <c r="F52">
        <v>18.100000000000001</v>
      </c>
      <c r="G52" s="3">
        <f t="shared" si="1"/>
        <v>0</v>
      </c>
      <c r="H52" s="3">
        <f t="shared" si="2"/>
        <v>0</v>
      </c>
      <c r="I52" s="3">
        <f t="shared" si="3"/>
        <v>0</v>
      </c>
      <c r="J52" s="3">
        <f t="shared" si="4"/>
        <v>0</v>
      </c>
      <c r="K52" s="3">
        <f t="shared" si="5"/>
        <v>2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7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 t="s">
        <v>8</v>
      </c>
      <c r="X52" t="s">
        <v>8</v>
      </c>
      <c r="Y52" t="s">
        <v>8</v>
      </c>
      <c r="Z52" t="s">
        <v>8</v>
      </c>
      <c r="AA52">
        <v>9.5</v>
      </c>
      <c r="AB52">
        <v>8.6</v>
      </c>
      <c r="AC52" t="s">
        <v>8</v>
      </c>
    </row>
    <row r="53" spans="1:33" x14ac:dyDescent="0.25">
      <c r="A53">
        <v>56</v>
      </c>
      <c r="B53" t="s">
        <v>172</v>
      </c>
      <c r="C53" t="s">
        <v>16</v>
      </c>
      <c r="D53" s="6">
        <f t="shared" si="0"/>
        <v>9</v>
      </c>
      <c r="E53">
        <v>10.199999999999999</v>
      </c>
      <c r="F53">
        <v>132.1</v>
      </c>
      <c r="G53" s="3">
        <f t="shared" si="1"/>
        <v>5</v>
      </c>
      <c r="H53" s="3">
        <f t="shared" si="2"/>
        <v>3</v>
      </c>
      <c r="I53" s="3">
        <f t="shared" si="3"/>
        <v>0</v>
      </c>
      <c r="J53" s="3">
        <f t="shared" si="4"/>
        <v>0</v>
      </c>
      <c r="K53" s="3">
        <f t="shared" si="5"/>
        <v>13</v>
      </c>
      <c r="L53">
        <v>9</v>
      </c>
      <c r="M53">
        <v>9.1999999999999993</v>
      </c>
      <c r="N53">
        <v>2.8</v>
      </c>
      <c r="O53">
        <v>7.9</v>
      </c>
      <c r="P53" t="s">
        <v>8</v>
      </c>
      <c r="Q53">
        <v>19.899999999999999</v>
      </c>
      <c r="R53">
        <v>17.399999999999999</v>
      </c>
      <c r="S53">
        <v>10.199999999999999</v>
      </c>
      <c r="T53">
        <v>6.8</v>
      </c>
      <c r="U53" t="s">
        <v>7</v>
      </c>
      <c r="V53">
        <v>2.7</v>
      </c>
      <c r="W53">
        <v>8.4</v>
      </c>
      <c r="X53" t="s">
        <v>8</v>
      </c>
      <c r="Y53" t="s">
        <v>8</v>
      </c>
      <c r="Z53">
        <v>19</v>
      </c>
      <c r="AA53">
        <v>4</v>
      </c>
      <c r="AB53">
        <v>14.8</v>
      </c>
      <c r="AC53" t="s">
        <v>8</v>
      </c>
    </row>
    <row r="54" spans="1:33" x14ac:dyDescent="0.25">
      <c r="A54">
        <v>47</v>
      </c>
      <c r="B54" t="s">
        <v>167</v>
      </c>
      <c r="C54" t="s">
        <v>57</v>
      </c>
      <c r="D54" s="6">
        <f t="shared" si="0"/>
        <v>9</v>
      </c>
      <c r="E54">
        <v>8.6999999999999993</v>
      </c>
      <c r="F54">
        <v>147.69999999999999</v>
      </c>
      <c r="G54" s="3">
        <f t="shared" si="1"/>
        <v>7</v>
      </c>
      <c r="H54" s="3">
        <f t="shared" si="2"/>
        <v>1</v>
      </c>
      <c r="I54" s="3">
        <f t="shared" si="3"/>
        <v>1</v>
      </c>
      <c r="J54" s="3">
        <f t="shared" si="4"/>
        <v>0</v>
      </c>
      <c r="K54" s="3">
        <f t="shared" si="5"/>
        <v>17</v>
      </c>
      <c r="L54">
        <v>3.2</v>
      </c>
      <c r="M54">
        <v>0</v>
      </c>
      <c r="N54">
        <v>14.8</v>
      </c>
      <c r="O54">
        <v>4.3</v>
      </c>
      <c r="P54">
        <v>11.9</v>
      </c>
      <c r="Q54">
        <v>21.2</v>
      </c>
      <c r="R54">
        <v>3.4</v>
      </c>
      <c r="S54">
        <v>3.2</v>
      </c>
      <c r="T54">
        <v>10.5</v>
      </c>
      <c r="U54">
        <v>9</v>
      </c>
      <c r="V54">
        <v>9.9</v>
      </c>
      <c r="W54">
        <v>11.3</v>
      </c>
      <c r="X54">
        <v>6</v>
      </c>
      <c r="Y54" t="s">
        <v>7</v>
      </c>
      <c r="Z54">
        <v>10.1</v>
      </c>
      <c r="AA54">
        <v>7.9</v>
      </c>
      <c r="AB54">
        <v>14.6</v>
      </c>
      <c r="AC54">
        <v>6.4</v>
      </c>
    </row>
    <row r="55" spans="1:33" x14ac:dyDescent="0.25">
      <c r="A55">
        <v>30</v>
      </c>
      <c r="B55" t="s">
        <v>144</v>
      </c>
      <c r="C55" t="s">
        <v>28</v>
      </c>
      <c r="D55" s="6">
        <f t="shared" si="0"/>
        <v>8.9</v>
      </c>
      <c r="E55">
        <v>11.6</v>
      </c>
      <c r="F55">
        <v>196.5</v>
      </c>
      <c r="G55" s="3">
        <f t="shared" si="1"/>
        <v>8</v>
      </c>
      <c r="H55" s="3">
        <f t="shared" si="2"/>
        <v>8</v>
      </c>
      <c r="I55" s="3">
        <f t="shared" si="3"/>
        <v>2</v>
      </c>
      <c r="J55" s="3">
        <f t="shared" si="4"/>
        <v>0</v>
      </c>
      <c r="K55" s="3">
        <f t="shared" si="5"/>
        <v>17</v>
      </c>
      <c r="L55">
        <v>1.4</v>
      </c>
      <c r="M55">
        <v>29</v>
      </c>
      <c r="N55">
        <v>17.399999999999999</v>
      </c>
      <c r="O55">
        <v>15.5</v>
      </c>
      <c r="P55">
        <v>5.6</v>
      </c>
      <c r="Q55">
        <v>0</v>
      </c>
      <c r="R55">
        <v>5.0999999999999996</v>
      </c>
      <c r="S55">
        <v>23.1</v>
      </c>
      <c r="T55">
        <v>3.4</v>
      </c>
      <c r="U55">
        <v>16.399999999999999</v>
      </c>
      <c r="V55" t="s">
        <v>7</v>
      </c>
      <c r="W55">
        <v>7.7</v>
      </c>
      <c r="X55">
        <v>17</v>
      </c>
      <c r="Y55">
        <v>8.9</v>
      </c>
      <c r="Z55">
        <v>5.2</v>
      </c>
      <c r="AA55">
        <v>7.9</v>
      </c>
      <c r="AB55">
        <v>15.6</v>
      </c>
      <c r="AC55">
        <v>17.3</v>
      </c>
      <c r="AG55" s="3">
        <f>MEDIAN(L45:AC127)</f>
        <v>5.3</v>
      </c>
    </row>
    <row r="56" spans="1:33" x14ac:dyDescent="0.25">
      <c r="A56">
        <v>76</v>
      </c>
      <c r="B56" t="s">
        <v>186</v>
      </c>
      <c r="C56" t="s">
        <v>16</v>
      </c>
      <c r="D56" s="6">
        <f t="shared" si="0"/>
        <v>8.6</v>
      </c>
      <c r="E56">
        <v>7</v>
      </c>
      <c r="F56">
        <v>105.3</v>
      </c>
      <c r="G56" s="3">
        <f t="shared" si="1"/>
        <v>4</v>
      </c>
      <c r="H56" s="3">
        <f t="shared" si="2"/>
        <v>2</v>
      </c>
      <c r="I56" s="3">
        <f t="shared" si="3"/>
        <v>0</v>
      </c>
      <c r="J56" s="3">
        <f t="shared" si="4"/>
        <v>0</v>
      </c>
      <c r="K56" s="3">
        <f t="shared" si="5"/>
        <v>15</v>
      </c>
      <c r="L56">
        <v>10.3</v>
      </c>
      <c r="M56">
        <v>0</v>
      </c>
      <c r="N56">
        <v>8.6999999999999993</v>
      </c>
      <c r="O56">
        <v>0</v>
      </c>
      <c r="P56" t="s">
        <v>8</v>
      </c>
      <c r="Q56">
        <v>15.8</v>
      </c>
      <c r="R56">
        <v>1.5</v>
      </c>
      <c r="S56">
        <v>7.9</v>
      </c>
      <c r="T56">
        <v>8.6999999999999993</v>
      </c>
      <c r="U56" t="s">
        <v>7</v>
      </c>
      <c r="V56">
        <v>19</v>
      </c>
      <c r="W56">
        <v>0.4</v>
      </c>
      <c r="X56">
        <v>8.6999999999999993</v>
      </c>
      <c r="Y56">
        <v>13.4</v>
      </c>
      <c r="Z56">
        <v>8.6</v>
      </c>
      <c r="AA56">
        <v>2.2999999999999998</v>
      </c>
      <c r="AB56" t="s">
        <v>8</v>
      </c>
      <c r="AC56">
        <v>0</v>
      </c>
    </row>
    <row r="57" spans="1:33" x14ac:dyDescent="0.25">
      <c r="A57">
        <v>46</v>
      </c>
      <c r="B57" t="s">
        <v>161</v>
      </c>
      <c r="C57" t="s">
        <v>18</v>
      </c>
      <c r="D57" s="6">
        <f t="shared" si="0"/>
        <v>8.5</v>
      </c>
      <c r="E57">
        <v>9.4</v>
      </c>
      <c r="F57">
        <v>149.6</v>
      </c>
      <c r="G57" s="3">
        <f t="shared" si="1"/>
        <v>4</v>
      </c>
      <c r="H57" s="3">
        <f t="shared" si="2"/>
        <v>3</v>
      </c>
      <c r="I57" s="3">
        <f t="shared" si="3"/>
        <v>2</v>
      </c>
      <c r="J57" s="3">
        <f t="shared" si="4"/>
        <v>0</v>
      </c>
      <c r="K57" s="3">
        <f t="shared" si="5"/>
        <v>16</v>
      </c>
      <c r="L57">
        <v>16.2</v>
      </c>
      <c r="M57">
        <v>8.5</v>
      </c>
      <c r="N57">
        <v>6.6</v>
      </c>
      <c r="O57">
        <v>7.6</v>
      </c>
      <c r="P57">
        <v>8.6</v>
      </c>
      <c r="Q57" t="s">
        <v>7</v>
      </c>
      <c r="R57">
        <v>2.1</v>
      </c>
      <c r="S57">
        <v>8.5</v>
      </c>
      <c r="T57">
        <v>7.6</v>
      </c>
      <c r="U57">
        <v>8.6</v>
      </c>
      <c r="V57">
        <v>5.7</v>
      </c>
      <c r="W57">
        <v>28.4</v>
      </c>
      <c r="X57">
        <v>11.3</v>
      </c>
      <c r="Y57">
        <v>20.9</v>
      </c>
      <c r="Z57">
        <v>0</v>
      </c>
      <c r="AA57" t="s">
        <v>8</v>
      </c>
      <c r="AB57">
        <v>0</v>
      </c>
      <c r="AC57">
        <v>9</v>
      </c>
    </row>
    <row r="58" spans="1:33" x14ac:dyDescent="0.25">
      <c r="A58">
        <v>40</v>
      </c>
      <c r="B58" t="s">
        <v>149</v>
      </c>
      <c r="C58" t="s">
        <v>12</v>
      </c>
      <c r="D58" s="6">
        <f t="shared" si="0"/>
        <v>8.4</v>
      </c>
      <c r="E58">
        <v>10.3</v>
      </c>
      <c r="F58">
        <v>174.6</v>
      </c>
      <c r="G58" s="3">
        <f t="shared" si="1"/>
        <v>8</v>
      </c>
      <c r="H58" s="3">
        <f t="shared" si="2"/>
        <v>5</v>
      </c>
      <c r="I58" s="3">
        <f t="shared" si="3"/>
        <v>2</v>
      </c>
      <c r="J58" s="3">
        <f t="shared" si="4"/>
        <v>0</v>
      </c>
      <c r="K58" s="3">
        <f t="shared" si="5"/>
        <v>17</v>
      </c>
      <c r="L58">
        <v>7.3</v>
      </c>
      <c r="M58">
        <v>7</v>
      </c>
      <c r="N58">
        <v>11.8</v>
      </c>
      <c r="O58">
        <v>3.3</v>
      </c>
      <c r="P58">
        <v>15.8</v>
      </c>
      <c r="Q58">
        <v>11.1</v>
      </c>
      <c r="R58">
        <v>22.1</v>
      </c>
      <c r="S58">
        <v>3.8</v>
      </c>
      <c r="T58">
        <v>5.5</v>
      </c>
      <c r="U58">
        <v>17.399999999999999</v>
      </c>
      <c r="V58">
        <v>5</v>
      </c>
      <c r="W58">
        <v>12.3</v>
      </c>
      <c r="X58">
        <v>0</v>
      </c>
      <c r="Y58" t="s">
        <v>7</v>
      </c>
      <c r="Z58">
        <v>23</v>
      </c>
      <c r="AA58">
        <v>8.4</v>
      </c>
      <c r="AB58">
        <v>2.2000000000000002</v>
      </c>
      <c r="AC58">
        <v>18.600000000000001</v>
      </c>
    </row>
    <row r="59" spans="1:33" x14ac:dyDescent="0.25">
      <c r="A59">
        <v>43</v>
      </c>
      <c r="B59" t="s">
        <v>154</v>
      </c>
      <c r="C59" t="s">
        <v>24</v>
      </c>
      <c r="D59" s="6">
        <f t="shared" si="0"/>
        <v>8.35</v>
      </c>
      <c r="E59">
        <v>10.1</v>
      </c>
      <c r="F59">
        <v>161.4</v>
      </c>
      <c r="G59" s="3">
        <f t="shared" si="1"/>
        <v>7</v>
      </c>
      <c r="H59" s="3">
        <f t="shared" si="2"/>
        <v>5</v>
      </c>
      <c r="I59" s="3">
        <f t="shared" si="3"/>
        <v>3</v>
      </c>
      <c r="J59" s="3">
        <f t="shared" si="4"/>
        <v>0</v>
      </c>
      <c r="K59" s="3">
        <f t="shared" si="5"/>
        <v>16</v>
      </c>
      <c r="L59">
        <v>21.5</v>
      </c>
      <c r="M59">
        <v>16.600000000000001</v>
      </c>
      <c r="N59">
        <v>5.4</v>
      </c>
      <c r="O59">
        <v>1.9</v>
      </c>
      <c r="P59">
        <v>22.4</v>
      </c>
      <c r="Q59">
        <v>0</v>
      </c>
      <c r="R59">
        <v>3.5</v>
      </c>
      <c r="S59">
        <v>2.1</v>
      </c>
      <c r="T59">
        <v>7.1</v>
      </c>
      <c r="U59">
        <v>18.100000000000001</v>
      </c>
      <c r="V59">
        <v>10.4</v>
      </c>
      <c r="W59">
        <v>4.9000000000000004</v>
      </c>
      <c r="X59">
        <v>9.6</v>
      </c>
      <c r="Y59" t="s">
        <v>7</v>
      </c>
      <c r="Z59">
        <v>0</v>
      </c>
      <c r="AA59" t="s">
        <v>8</v>
      </c>
      <c r="AB59">
        <v>24.2</v>
      </c>
      <c r="AC59">
        <v>13.7</v>
      </c>
    </row>
    <row r="60" spans="1:33" x14ac:dyDescent="0.25">
      <c r="A60">
        <v>45</v>
      </c>
      <c r="B60" t="s">
        <v>160</v>
      </c>
      <c r="C60" t="s">
        <v>64</v>
      </c>
      <c r="D60" s="6">
        <f t="shared" si="0"/>
        <v>8.3000000000000007</v>
      </c>
      <c r="E60">
        <v>8.9</v>
      </c>
      <c r="F60">
        <v>152</v>
      </c>
      <c r="G60" s="3">
        <f t="shared" si="1"/>
        <v>8</v>
      </c>
      <c r="H60" s="3">
        <f t="shared" si="2"/>
        <v>1</v>
      </c>
      <c r="I60" s="3">
        <f t="shared" si="3"/>
        <v>1</v>
      </c>
      <c r="J60" s="3">
        <f t="shared" si="4"/>
        <v>0</v>
      </c>
      <c r="K60" s="3">
        <f t="shared" si="5"/>
        <v>17</v>
      </c>
      <c r="L60">
        <v>2.2000000000000002</v>
      </c>
      <c r="M60">
        <v>14.2</v>
      </c>
      <c r="N60">
        <v>13.2</v>
      </c>
      <c r="O60">
        <v>5.4</v>
      </c>
      <c r="P60">
        <v>21.7</v>
      </c>
      <c r="Q60">
        <v>8.3000000000000007</v>
      </c>
      <c r="R60" t="s">
        <v>7</v>
      </c>
      <c r="S60">
        <v>7.4</v>
      </c>
      <c r="T60">
        <v>10.9</v>
      </c>
      <c r="U60">
        <v>4.4000000000000004</v>
      </c>
      <c r="V60">
        <v>4.0999999999999996</v>
      </c>
      <c r="W60">
        <v>10.199999999999999</v>
      </c>
      <c r="X60">
        <v>6.1</v>
      </c>
      <c r="Y60">
        <v>0</v>
      </c>
      <c r="Z60">
        <v>8.1</v>
      </c>
      <c r="AA60">
        <v>10</v>
      </c>
      <c r="AB60">
        <v>12</v>
      </c>
      <c r="AC60">
        <v>13.8</v>
      </c>
    </row>
    <row r="61" spans="1:33" x14ac:dyDescent="0.25">
      <c r="A61">
        <v>48</v>
      </c>
      <c r="B61" t="s">
        <v>163</v>
      </c>
      <c r="C61" t="s">
        <v>12</v>
      </c>
      <c r="D61" s="6">
        <f t="shared" si="0"/>
        <v>8.15</v>
      </c>
      <c r="E61">
        <v>9.1999999999999993</v>
      </c>
      <c r="F61">
        <v>147</v>
      </c>
      <c r="G61" s="3">
        <f t="shared" si="1"/>
        <v>5</v>
      </c>
      <c r="H61" s="3">
        <f t="shared" si="2"/>
        <v>2</v>
      </c>
      <c r="I61" s="3">
        <f t="shared" si="3"/>
        <v>1</v>
      </c>
      <c r="J61" s="3">
        <f t="shared" si="4"/>
        <v>0</v>
      </c>
      <c r="K61" s="3">
        <f t="shared" si="5"/>
        <v>16</v>
      </c>
      <c r="L61">
        <v>1.8</v>
      </c>
      <c r="M61">
        <v>1.9</v>
      </c>
      <c r="N61">
        <v>19.3</v>
      </c>
      <c r="O61">
        <v>5.0999999999999996</v>
      </c>
      <c r="P61" t="s">
        <v>8</v>
      </c>
      <c r="Q61">
        <v>9.4</v>
      </c>
      <c r="R61">
        <v>0.8</v>
      </c>
      <c r="S61">
        <v>4.9000000000000004</v>
      </c>
      <c r="T61">
        <v>28.6</v>
      </c>
      <c r="U61">
        <v>9.6</v>
      </c>
      <c r="V61">
        <v>5.9</v>
      </c>
      <c r="W61">
        <v>14.5</v>
      </c>
      <c r="X61">
        <v>13</v>
      </c>
      <c r="Y61">
        <v>13.2</v>
      </c>
      <c r="Z61">
        <v>8.6</v>
      </c>
      <c r="AA61">
        <v>7.7</v>
      </c>
      <c r="AB61">
        <v>2.7</v>
      </c>
      <c r="AC61" t="s">
        <v>8</v>
      </c>
    </row>
    <row r="62" spans="1:33" x14ac:dyDescent="0.25">
      <c r="A62">
        <v>71</v>
      </c>
      <c r="B62" t="s">
        <v>183</v>
      </c>
      <c r="C62" t="s">
        <v>22</v>
      </c>
      <c r="D62" s="6">
        <f t="shared" si="0"/>
        <v>8.1</v>
      </c>
      <c r="E62">
        <v>8.6</v>
      </c>
      <c r="F62">
        <v>111.5</v>
      </c>
      <c r="G62" s="3">
        <f t="shared" si="1"/>
        <v>4</v>
      </c>
      <c r="H62" s="3">
        <f t="shared" si="2"/>
        <v>2</v>
      </c>
      <c r="I62" s="3">
        <f t="shared" si="3"/>
        <v>0</v>
      </c>
      <c r="J62" s="3">
        <f t="shared" si="4"/>
        <v>0</v>
      </c>
      <c r="K62" s="3">
        <f t="shared" si="5"/>
        <v>13</v>
      </c>
      <c r="L62">
        <v>9.1</v>
      </c>
      <c r="M62">
        <v>0</v>
      </c>
      <c r="N62">
        <v>9.4</v>
      </c>
      <c r="O62">
        <v>8.1</v>
      </c>
      <c r="P62">
        <v>11.9</v>
      </c>
      <c r="Q62">
        <v>5.6</v>
      </c>
      <c r="R62">
        <v>16.5</v>
      </c>
      <c r="S62">
        <v>18</v>
      </c>
      <c r="T62">
        <v>5.0999999999999996</v>
      </c>
      <c r="U62" t="s">
        <v>8</v>
      </c>
      <c r="V62" t="s">
        <v>8</v>
      </c>
      <c r="W62" t="s">
        <v>7</v>
      </c>
      <c r="X62" t="s">
        <v>8</v>
      </c>
      <c r="Y62" t="s">
        <v>8</v>
      </c>
      <c r="Z62">
        <v>7.4</v>
      </c>
      <c r="AA62">
        <v>2.7</v>
      </c>
      <c r="AB62">
        <v>11.7</v>
      </c>
      <c r="AC62">
        <v>6</v>
      </c>
    </row>
    <row r="63" spans="1:33" x14ac:dyDescent="0.25">
      <c r="A63">
        <v>94</v>
      </c>
      <c r="B63" t="s">
        <v>208</v>
      </c>
      <c r="C63" t="s">
        <v>26</v>
      </c>
      <c r="D63" s="6">
        <f t="shared" si="0"/>
        <v>7.9500000000000011</v>
      </c>
      <c r="E63">
        <v>9.6</v>
      </c>
      <c r="F63">
        <v>76.7</v>
      </c>
      <c r="G63" s="3">
        <f t="shared" si="1"/>
        <v>4</v>
      </c>
      <c r="H63" s="3">
        <f t="shared" si="2"/>
        <v>3</v>
      </c>
      <c r="I63" s="3">
        <f t="shared" si="3"/>
        <v>1</v>
      </c>
      <c r="J63" s="3">
        <f t="shared" si="4"/>
        <v>0</v>
      </c>
      <c r="K63" s="3">
        <f t="shared" si="5"/>
        <v>8</v>
      </c>
      <c r="L63">
        <v>3.1</v>
      </c>
      <c r="M63">
        <v>12.8</v>
      </c>
      <c r="N63">
        <v>20.6</v>
      </c>
      <c r="O63">
        <v>16.7</v>
      </c>
      <c r="P63">
        <v>3</v>
      </c>
      <c r="Q63">
        <v>-0.5</v>
      </c>
      <c r="R63" t="s">
        <v>8</v>
      </c>
      <c r="S63">
        <v>18.7</v>
      </c>
      <c r="T63">
        <v>2.2999999999999998</v>
      </c>
      <c r="U63" t="s">
        <v>8</v>
      </c>
      <c r="V63" t="s">
        <v>8</v>
      </c>
      <c r="W63" t="s">
        <v>7</v>
      </c>
      <c r="X63" t="s">
        <v>8</v>
      </c>
      <c r="Y63" t="s">
        <v>8</v>
      </c>
      <c r="Z63" t="s">
        <v>8</v>
      </c>
      <c r="AA63" t="s">
        <v>8</v>
      </c>
      <c r="AB63" t="s">
        <v>8</v>
      </c>
      <c r="AC63" t="s">
        <v>8</v>
      </c>
    </row>
    <row r="64" spans="1:33" x14ac:dyDescent="0.25">
      <c r="A64">
        <v>54</v>
      </c>
      <c r="B64" t="s">
        <v>162</v>
      </c>
      <c r="C64" t="s">
        <v>18</v>
      </c>
      <c r="D64" s="6">
        <f t="shared" si="0"/>
        <v>7.9</v>
      </c>
      <c r="E64">
        <v>8</v>
      </c>
      <c r="F64">
        <v>135.69999999999999</v>
      </c>
      <c r="G64" s="3">
        <f t="shared" si="1"/>
        <v>5</v>
      </c>
      <c r="H64" s="3">
        <f t="shared" si="2"/>
        <v>3</v>
      </c>
      <c r="I64" s="3">
        <f t="shared" si="3"/>
        <v>1</v>
      </c>
      <c r="J64" s="3">
        <f t="shared" si="4"/>
        <v>0</v>
      </c>
      <c r="K64" s="3">
        <f t="shared" si="5"/>
        <v>17</v>
      </c>
      <c r="L64">
        <v>0</v>
      </c>
      <c r="M64">
        <v>0</v>
      </c>
      <c r="N64">
        <v>0</v>
      </c>
      <c r="O64">
        <v>0</v>
      </c>
      <c r="P64" t="s">
        <v>8</v>
      </c>
      <c r="Q64">
        <v>7.9</v>
      </c>
      <c r="R64">
        <v>9</v>
      </c>
      <c r="S64">
        <v>11.9</v>
      </c>
      <c r="T64">
        <v>16</v>
      </c>
      <c r="U64">
        <v>6.1</v>
      </c>
      <c r="V64">
        <v>19.7</v>
      </c>
      <c r="W64">
        <v>12.8</v>
      </c>
      <c r="X64">
        <v>21.1</v>
      </c>
      <c r="Y64">
        <v>2.9</v>
      </c>
      <c r="Z64">
        <v>2.9</v>
      </c>
      <c r="AA64">
        <v>9.6999999999999993</v>
      </c>
      <c r="AB64">
        <v>6.7</v>
      </c>
      <c r="AC64">
        <v>9</v>
      </c>
    </row>
    <row r="65" spans="1:29" x14ac:dyDescent="0.25">
      <c r="A65">
        <v>34</v>
      </c>
      <c r="B65" t="s">
        <v>150</v>
      </c>
      <c r="C65" t="s">
        <v>90</v>
      </c>
      <c r="D65" s="6">
        <f t="shared" si="0"/>
        <v>7.6</v>
      </c>
      <c r="E65">
        <v>12.4</v>
      </c>
      <c r="F65">
        <v>185.4</v>
      </c>
      <c r="G65" s="3">
        <f t="shared" si="1"/>
        <v>5</v>
      </c>
      <c r="H65" s="3">
        <f t="shared" si="2"/>
        <v>5</v>
      </c>
      <c r="I65" s="3">
        <f t="shared" si="3"/>
        <v>5</v>
      </c>
      <c r="J65" s="3">
        <f t="shared" si="4"/>
        <v>0</v>
      </c>
      <c r="K65" s="3">
        <f t="shared" si="5"/>
        <v>15</v>
      </c>
      <c r="L65">
        <v>6.9</v>
      </c>
      <c r="M65" t="s">
        <v>8</v>
      </c>
      <c r="N65" t="s">
        <v>8</v>
      </c>
      <c r="O65">
        <v>4.9000000000000004</v>
      </c>
      <c r="P65">
        <v>6.3</v>
      </c>
      <c r="Q65">
        <v>21.1</v>
      </c>
      <c r="R65" t="s">
        <v>8</v>
      </c>
      <c r="S65">
        <v>5.9</v>
      </c>
      <c r="T65">
        <v>7.6</v>
      </c>
      <c r="U65">
        <v>9.4</v>
      </c>
      <c r="V65">
        <v>8.1</v>
      </c>
      <c r="W65">
        <v>23.6</v>
      </c>
      <c r="X65">
        <v>24.3</v>
      </c>
      <c r="Y65">
        <v>6</v>
      </c>
      <c r="Z65">
        <v>20.2</v>
      </c>
      <c r="AA65">
        <v>29.1</v>
      </c>
      <c r="AB65">
        <v>7.5</v>
      </c>
      <c r="AC65">
        <v>4.5</v>
      </c>
    </row>
    <row r="66" spans="1:29" x14ac:dyDescent="0.25">
      <c r="A66">
        <v>63</v>
      </c>
      <c r="B66" t="s">
        <v>179</v>
      </c>
      <c r="C66" t="s">
        <v>90</v>
      </c>
      <c r="D66" s="6">
        <f t="shared" ref="D66:D129" si="6">MEDIAN(L66:AC66)</f>
        <v>7.5</v>
      </c>
      <c r="E66">
        <v>8.8000000000000007</v>
      </c>
      <c r="F66">
        <v>122.7</v>
      </c>
      <c r="G66" s="3">
        <f t="shared" ref="G66:G129" si="7">COUNTIFS(L66:AC66,"&gt;=10",L66:AC66,"&lt;=99")</f>
        <v>5</v>
      </c>
      <c r="H66" s="3">
        <f t="shared" ref="H66:H129" si="8">COUNTIFS(L66:AC66,"&gt;=15",L66:AC66,"&lt;=99")</f>
        <v>3</v>
      </c>
      <c r="I66" s="3">
        <f t="shared" ref="I66:I129" si="9">COUNTIFS(L66:AC66,"&gt;=20",L66:AC66,"&lt;=99")</f>
        <v>1</v>
      </c>
      <c r="J66" s="3">
        <f t="shared" ref="J66:J129" si="10">COUNTIFS(L66:AC66,"&gt;=30",L66:AC66,"&lt;=99")</f>
        <v>0</v>
      </c>
      <c r="K66" s="3">
        <f t="shared" ref="K66:K129" si="11">COUNT(L66:AC66)</f>
        <v>14</v>
      </c>
      <c r="L66">
        <v>3.6</v>
      </c>
      <c r="M66">
        <v>4.0999999999999996</v>
      </c>
      <c r="N66">
        <v>27.6</v>
      </c>
      <c r="O66">
        <v>7.5</v>
      </c>
      <c r="P66">
        <v>10</v>
      </c>
      <c r="Q66">
        <v>8.1999999999999993</v>
      </c>
      <c r="R66">
        <v>16.600000000000001</v>
      </c>
      <c r="S66">
        <v>1.3</v>
      </c>
      <c r="T66" t="s">
        <v>8</v>
      </c>
      <c r="U66" t="s">
        <v>8</v>
      </c>
      <c r="V66">
        <v>7.5</v>
      </c>
      <c r="W66" t="s">
        <v>8</v>
      </c>
      <c r="X66">
        <v>4.2</v>
      </c>
      <c r="Y66">
        <v>15.5</v>
      </c>
      <c r="Z66">
        <v>0</v>
      </c>
      <c r="AA66">
        <v>2</v>
      </c>
      <c r="AB66">
        <v>14.6</v>
      </c>
      <c r="AC66" t="s">
        <v>8</v>
      </c>
    </row>
    <row r="67" spans="1:29" x14ac:dyDescent="0.25">
      <c r="A67">
        <v>50</v>
      </c>
      <c r="B67" t="s">
        <v>171</v>
      </c>
      <c r="C67" t="s">
        <v>14</v>
      </c>
      <c r="D67" s="6">
        <f t="shared" si="6"/>
        <v>7.5</v>
      </c>
      <c r="E67">
        <v>8.3000000000000007</v>
      </c>
      <c r="F67">
        <v>140.5</v>
      </c>
      <c r="G67" s="3">
        <f t="shared" si="7"/>
        <v>7</v>
      </c>
      <c r="H67" s="3">
        <f t="shared" si="8"/>
        <v>1</v>
      </c>
      <c r="I67" s="3">
        <f t="shared" si="9"/>
        <v>0</v>
      </c>
      <c r="J67" s="3">
        <f t="shared" si="10"/>
        <v>0</v>
      </c>
      <c r="K67" s="3">
        <f t="shared" si="11"/>
        <v>17</v>
      </c>
      <c r="L67">
        <v>9.1999999999999993</v>
      </c>
      <c r="M67">
        <v>7.5</v>
      </c>
      <c r="N67">
        <v>5.7</v>
      </c>
      <c r="O67">
        <v>11.2</v>
      </c>
      <c r="P67">
        <v>12.6</v>
      </c>
      <c r="Q67">
        <v>4.3</v>
      </c>
      <c r="R67">
        <v>2.9</v>
      </c>
      <c r="S67">
        <v>5.6</v>
      </c>
      <c r="T67">
        <v>12.5</v>
      </c>
      <c r="U67">
        <v>6.6</v>
      </c>
      <c r="V67">
        <v>10.6</v>
      </c>
      <c r="W67" t="s">
        <v>7</v>
      </c>
      <c r="X67">
        <v>13.3</v>
      </c>
      <c r="Y67">
        <v>16.100000000000001</v>
      </c>
      <c r="Z67">
        <v>2.4</v>
      </c>
      <c r="AA67">
        <v>5.7</v>
      </c>
      <c r="AB67">
        <v>3.7</v>
      </c>
      <c r="AC67">
        <v>10.6</v>
      </c>
    </row>
    <row r="68" spans="1:29" x14ac:dyDescent="0.25">
      <c r="A68">
        <v>95</v>
      </c>
      <c r="B68" t="s">
        <v>210</v>
      </c>
      <c r="C68" t="s">
        <v>32</v>
      </c>
      <c r="D68" s="6">
        <f t="shared" si="6"/>
        <v>7.4</v>
      </c>
      <c r="E68">
        <v>8.9</v>
      </c>
      <c r="F68">
        <v>70.900000000000006</v>
      </c>
      <c r="G68" s="3">
        <f t="shared" si="7"/>
        <v>3</v>
      </c>
      <c r="H68" s="3">
        <f t="shared" si="8"/>
        <v>2</v>
      </c>
      <c r="I68" s="3">
        <f t="shared" si="9"/>
        <v>0</v>
      </c>
      <c r="J68" s="3">
        <f t="shared" si="10"/>
        <v>0</v>
      </c>
      <c r="K68" s="3">
        <f t="shared" si="11"/>
        <v>8</v>
      </c>
      <c r="L68">
        <v>4</v>
      </c>
      <c r="M68">
        <v>0.9</v>
      </c>
      <c r="N68">
        <v>15.9</v>
      </c>
      <c r="O68">
        <v>19.100000000000001</v>
      </c>
      <c r="P68">
        <v>12.8</v>
      </c>
      <c r="Q68">
        <v>6.9</v>
      </c>
      <c r="R68">
        <v>3.4</v>
      </c>
      <c r="S68">
        <v>7.9</v>
      </c>
      <c r="T68" t="s">
        <v>8</v>
      </c>
      <c r="U68" t="s">
        <v>8</v>
      </c>
      <c r="V68" t="s">
        <v>8</v>
      </c>
      <c r="W68" t="s">
        <v>8</v>
      </c>
      <c r="X68" t="s">
        <v>8</v>
      </c>
      <c r="Y68" t="s">
        <v>7</v>
      </c>
      <c r="Z68" t="s">
        <v>8</v>
      </c>
      <c r="AA68" t="s">
        <v>8</v>
      </c>
      <c r="AB68" t="s">
        <v>8</v>
      </c>
      <c r="AC68" t="s">
        <v>8</v>
      </c>
    </row>
    <row r="69" spans="1:29" x14ac:dyDescent="0.25">
      <c r="A69">
        <v>60</v>
      </c>
      <c r="B69" t="s">
        <v>180</v>
      </c>
      <c r="C69" t="s">
        <v>36</v>
      </c>
      <c r="D69" s="6">
        <f t="shared" si="6"/>
        <v>7.25</v>
      </c>
      <c r="E69">
        <v>7.8</v>
      </c>
      <c r="F69">
        <v>125.1</v>
      </c>
      <c r="G69" s="3">
        <f t="shared" si="7"/>
        <v>4</v>
      </c>
      <c r="H69" s="3">
        <f t="shared" si="8"/>
        <v>1</v>
      </c>
      <c r="I69" s="3">
        <f t="shared" si="9"/>
        <v>0</v>
      </c>
      <c r="J69" s="3">
        <f t="shared" si="10"/>
        <v>0</v>
      </c>
      <c r="K69" s="3">
        <f t="shared" si="11"/>
        <v>16</v>
      </c>
      <c r="L69">
        <v>7.5</v>
      </c>
      <c r="M69">
        <v>0</v>
      </c>
      <c r="N69">
        <v>6.2</v>
      </c>
      <c r="O69">
        <v>19.600000000000001</v>
      </c>
      <c r="P69">
        <v>1.8</v>
      </c>
      <c r="Q69">
        <v>11.3</v>
      </c>
      <c r="R69">
        <v>2.9</v>
      </c>
      <c r="S69">
        <v>13.4</v>
      </c>
      <c r="T69">
        <v>13.9</v>
      </c>
      <c r="U69">
        <v>7</v>
      </c>
      <c r="V69" t="s">
        <v>7</v>
      </c>
      <c r="W69">
        <v>9.6</v>
      </c>
      <c r="X69">
        <v>9.3000000000000007</v>
      </c>
      <c r="Y69">
        <v>5.9</v>
      </c>
      <c r="Z69">
        <v>2.9</v>
      </c>
      <c r="AA69" t="s">
        <v>8</v>
      </c>
      <c r="AB69">
        <v>7.8</v>
      </c>
      <c r="AC69">
        <v>6</v>
      </c>
    </row>
    <row r="70" spans="1:29" x14ac:dyDescent="0.25">
      <c r="A70">
        <v>61</v>
      </c>
      <c r="B70" t="s">
        <v>177</v>
      </c>
      <c r="C70" t="s">
        <v>28</v>
      </c>
      <c r="D70" s="6">
        <f t="shared" si="6"/>
        <v>7.15</v>
      </c>
      <c r="E70">
        <v>7.8</v>
      </c>
      <c r="F70">
        <v>124.5</v>
      </c>
      <c r="G70" s="3">
        <f t="shared" si="7"/>
        <v>6</v>
      </c>
      <c r="H70" s="3">
        <f t="shared" si="8"/>
        <v>0</v>
      </c>
      <c r="I70" s="3">
        <f t="shared" si="9"/>
        <v>0</v>
      </c>
      <c r="J70" s="3">
        <f t="shared" si="10"/>
        <v>0</v>
      </c>
      <c r="K70" s="3">
        <f t="shared" si="11"/>
        <v>16</v>
      </c>
      <c r="L70">
        <v>7.5</v>
      </c>
      <c r="M70">
        <v>5.0999999999999996</v>
      </c>
      <c r="N70">
        <v>14.4</v>
      </c>
      <c r="O70">
        <v>4.8</v>
      </c>
      <c r="P70">
        <v>12.8</v>
      </c>
      <c r="Q70">
        <v>10.1</v>
      </c>
      <c r="R70">
        <v>2.5</v>
      </c>
      <c r="S70">
        <v>14.1</v>
      </c>
      <c r="T70">
        <v>0</v>
      </c>
      <c r="U70">
        <v>5.4</v>
      </c>
      <c r="V70" t="s">
        <v>7</v>
      </c>
      <c r="W70">
        <v>7.4</v>
      </c>
      <c r="X70">
        <v>10.5</v>
      </c>
      <c r="Y70">
        <v>13.7</v>
      </c>
      <c r="Z70">
        <v>2.9</v>
      </c>
      <c r="AA70">
        <v>6.4</v>
      </c>
      <c r="AB70">
        <v>6.9</v>
      </c>
      <c r="AC70" t="s">
        <v>8</v>
      </c>
    </row>
    <row r="71" spans="1:29" x14ac:dyDescent="0.25">
      <c r="A71">
        <v>96</v>
      </c>
      <c r="B71" t="s">
        <v>211</v>
      </c>
      <c r="C71" t="s">
        <v>26</v>
      </c>
      <c r="D71" s="6">
        <f t="shared" si="6"/>
        <v>6.85</v>
      </c>
      <c r="E71">
        <v>7</v>
      </c>
      <c r="F71">
        <v>69.599999999999994</v>
      </c>
      <c r="G71" s="3">
        <f t="shared" si="7"/>
        <v>2</v>
      </c>
      <c r="H71" s="3">
        <f t="shared" si="8"/>
        <v>0</v>
      </c>
      <c r="I71" s="3">
        <f t="shared" si="9"/>
        <v>0</v>
      </c>
      <c r="J71" s="3">
        <f t="shared" si="10"/>
        <v>0</v>
      </c>
      <c r="K71" s="3">
        <f t="shared" si="11"/>
        <v>10</v>
      </c>
      <c r="L71">
        <v>14.5</v>
      </c>
      <c r="M71">
        <v>3.6</v>
      </c>
      <c r="N71">
        <v>3.6</v>
      </c>
      <c r="O71">
        <v>2.6</v>
      </c>
      <c r="P71" t="s">
        <v>8</v>
      </c>
      <c r="Q71" t="s">
        <v>8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 t="s">
        <v>7</v>
      </c>
      <c r="X71">
        <v>10.6</v>
      </c>
      <c r="Y71">
        <v>7.3</v>
      </c>
      <c r="Z71">
        <v>6.4</v>
      </c>
      <c r="AA71">
        <v>7.8</v>
      </c>
      <c r="AB71">
        <v>9.1999999999999993</v>
      </c>
      <c r="AC71">
        <v>4</v>
      </c>
    </row>
    <row r="72" spans="1:29" x14ac:dyDescent="0.25">
      <c r="A72">
        <v>64</v>
      </c>
      <c r="B72" t="s">
        <v>181</v>
      </c>
      <c r="C72" t="s">
        <v>57</v>
      </c>
      <c r="D72" s="6">
        <f t="shared" si="6"/>
        <v>6.8</v>
      </c>
      <c r="E72">
        <v>8.1</v>
      </c>
      <c r="F72">
        <v>121.9</v>
      </c>
      <c r="G72" s="3">
        <f t="shared" si="7"/>
        <v>3</v>
      </c>
      <c r="H72" s="3">
        <f t="shared" si="8"/>
        <v>2</v>
      </c>
      <c r="I72" s="3">
        <f t="shared" si="9"/>
        <v>2</v>
      </c>
      <c r="J72" s="3">
        <f t="shared" si="10"/>
        <v>0</v>
      </c>
      <c r="K72" s="3">
        <f t="shared" si="11"/>
        <v>15</v>
      </c>
      <c r="L72" t="s">
        <v>8</v>
      </c>
      <c r="M72" t="s">
        <v>8</v>
      </c>
      <c r="N72">
        <v>1.2</v>
      </c>
      <c r="O72">
        <v>2.1</v>
      </c>
      <c r="P72">
        <v>5.4</v>
      </c>
      <c r="Q72">
        <v>14.9</v>
      </c>
      <c r="R72">
        <v>4.3</v>
      </c>
      <c r="S72">
        <v>7.6</v>
      </c>
      <c r="T72">
        <v>3.8</v>
      </c>
      <c r="U72">
        <v>8.6999999999999993</v>
      </c>
      <c r="V72">
        <v>7.3</v>
      </c>
      <c r="W72">
        <v>1.6</v>
      </c>
      <c r="X72">
        <v>9.1</v>
      </c>
      <c r="Y72" t="s">
        <v>7</v>
      </c>
      <c r="Z72">
        <v>3.9</v>
      </c>
      <c r="AA72">
        <v>20.5</v>
      </c>
      <c r="AB72">
        <v>6.8</v>
      </c>
      <c r="AC72">
        <v>24.7</v>
      </c>
    </row>
    <row r="73" spans="1:29" x14ac:dyDescent="0.25">
      <c r="A73">
        <v>105</v>
      </c>
      <c r="B73" t="s">
        <v>218</v>
      </c>
      <c r="C73" t="s">
        <v>76</v>
      </c>
      <c r="D73" s="6">
        <f t="shared" si="6"/>
        <v>6.8</v>
      </c>
      <c r="E73">
        <v>8.9</v>
      </c>
      <c r="F73">
        <v>62.4</v>
      </c>
      <c r="G73" s="3">
        <f t="shared" si="7"/>
        <v>1</v>
      </c>
      <c r="H73" s="3">
        <f t="shared" si="8"/>
        <v>1</v>
      </c>
      <c r="I73" s="3">
        <f t="shared" si="9"/>
        <v>1</v>
      </c>
      <c r="J73" s="3">
        <f t="shared" si="10"/>
        <v>0</v>
      </c>
      <c r="K73" s="3">
        <f t="shared" si="11"/>
        <v>7</v>
      </c>
      <c r="L73">
        <v>4.8</v>
      </c>
      <c r="M73">
        <v>8.3000000000000007</v>
      </c>
      <c r="N73">
        <v>9.8000000000000007</v>
      </c>
      <c r="O73">
        <v>6.8</v>
      </c>
      <c r="P73">
        <v>22.7</v>
      </c>
      <c r="Q73">
        <v>5.7</v>
      </c>
      <c r="R73">
        <v>4.3</v>
      </c>
      <c r="S73" t="s">
        <v>8</v>
      </c>
      <c r="T73" t="s">
        <v>7</v>
      </c>
      <c r="U73" t="s">
        <v>8</v>
      </c>
      <c r="V73" t="s">
        <v>8</v>
      </c>
      <c r="W73" t="s">
        <v>8</v>
      </c>
      <c r="X73" t="s">
        <v>8</v>
      </c>
      <c r="Y73" t="s">
        <v>8</v>
      </c>
      <c r="Z73" t="s">
        <v>8</v>
      </c>
      <c r="AA73" t="s">
        <v>8</v>
      </c>
      <c r="AB73" t="s">
        <v>8</v>
      </c>
      <c r="AC73" t="s">
        <v>8</v>
      </c>
    </row>
    <row r="74" spans="1:29" x14ac:dyDescent="0.25">
      <c r="A74">
        <v>74</v>
      </c>
      <c r="B74" t="s">
        <v>192</v>
      </c>
      <c r="C74" t="s">
        <v>22</v>
      </c>
      <c r="D74" s="6">
        <f t="shared" si="6"/>
        <v>6.6</v>
      </c>
      <c r="E74">
        <v>7.2</v>
      </c>
      <c r="F74">
        <v>107.4</v>
      </c>
      <c r="G74" s="3">
        <f t="shared" si="7"/>
        <v>3</v>
      </c>
      <c r="H74" s="3">
        <f t="shared" si="8"/>
        <v>0</v>
      </c>
      <c r="I74" s="3">
        <f t="shared" si="9"/>
        <v>0</v>
      </c>
      <c r="J74" s="3">
        <f t="shared" si="10"/>
        <v>0</v>
      </c>
      <c r="K74" s="3">
        <f t="shared" si="11"/>
        <v>15</v>
      </c>
      <c r="L74">
        <v>3.5</v>
      </c>
      <c r="M74">
        <v>3.9</v>
      </c>
      <c r="N74" t="s">
        <v>8</v>
      </c>
      <c r="O74">
        <v>6.6</v>
      </c>
      <c r="P74" t="s">
        <v>8</v>
      </c>
      <c r="Q74">
        <v>5.8</v>
      </c>
      <c r="R74">
        <v>10.3</v>
      </c>
      <c r="S74">
        <v>9.1999999999999993</v>
      </c>
      <c r="T74">
        <v>14.3</v>
      </c>
      <c r="U74">
        <v>4.5999999999999996</v>
      </c>
      <c r="V74">
        <v>4.3</v>
      </c>
      <c r="W74">
        <v>6.8</v>
      </c>
      <c r="X74">
        <v>4.0999999999999996</v>
      </c>
      <c r="Y74">
        <v>13.8</v>
      </c>
      <c r="Z74">
        <v>3</v>
      </c>
      <c r="AA74">
        <v>9.1</v>
      </c>
      <c r="AB74">
        <v>8.1</v>
      </c>
      <c r="AC74" t="s">
        <v>8</v>
      </c>
    </row>
    <row r="75" spans="1:29" x14ac:dyDescent="0.25">
      <c r="A75">
        <v>87</v>
      </c>
      <c r="B75" t="s">
        <v>205</v>
      </c>
      <c r="C75" t="s">
        <v>60</v>
      </c>
      <c r="D75" s="6">
        <f t="shared" si="6"/>
        <v>6.3</v>
      </c>
      <c r="E75">
        <v>7.8</v>
      </c>
      <c r="F75">
        <v>86.3</v>
      </c>
      <c r="G75" s="3">
        <f t="shared" si="7"/>
        <v>3</v>
      </c>
      <c r="H75" s="3">
        <f t="shared" si="8"/>
        <v>1</v>
      </c>
      <c r="I75" s="3">
        <f t="shared" si="9"/>
        <v>0</v>
      </c>
      <c r="J75" s="3">
        <f t="shared" si="10"/>
        <v>0</v>
      </c>
      <c r="K75" s="3">
        <f t="shared" si="11"/>
        <v>11</v>
      </c>
      <c r="L75" t="s">
        <v>8</v>
      </c>
      <c r="M75">
        <v>8.6</v>
      </c>
      <c r="N75">
        <v>5.9</v>
      </c>
      <c r="O75">
        <v>5.6</v>
      </c>
      <c r="P75" t="s">
        <v>8</v>
      </c>
      <c r="Q75">
        <v>9.8000000000000007</v>
      </c>
      <c r="R75">
        <v>2.6</v>
      </c>
      <c r="S75">
        <v>16.3</v>
      </c>
      <c r="T75">
        <v>11</v>
      </c>
      <c r="U75">
        <v>6.3</v>
      </c>
      <c r="V75">
        <v>1.4</v>
      </c>
      <c r="W75">
        <v>13.1</v>
      </c>
      <c r="X75">
        <v>5.7</v>
      </c>
      <c r="Y75" t="s">
        <v>7</v>
      </c>
      <c r="Z75" t="s">
        <v>8</v>
      </c>
      <c r="AA75" t="s">
        <v>8</v>
      </c>
      <c r="AB75" t="s">
        <v>8</v>
      </c>
      <c r="AC75" t="s">
        <v>8</v>
      </c>
    </row>
    <row r="76" spans="1:29" x14ac:dyDescent="0.25">
      <c r="A76">
        <v>49</v>
      </c>
      <c r="B76" t="s">
        <v>164</v>
      </c>
      <c r="C76" t="s">
        <v>43</v>
      </c>
      <c r="D76" s="6">
        <f t="shared" si="6"/>
        <v>6</v>
      </c>
      <c r="E76">
        <v>8.5</v>
      </c>
      <c r="F76">
        <v>144.9</v>
      </c>
      <c r="G76" s="3">
        <f t="shared" si="7"/>
        <v>4</v>
      </c>
      <c r="H76" s="3">
        <f t="shared" si="8"/>
        <v>3</v>
      </c>
      <c r="I76" s="3">
        <f t="shared" si="9"/>
        <v>2</v>
      </c>
      <c r="J76" s="3">
        <f t="shared" si="10"/>
        <v>0</v>
      </c>
      <c r="K76" s="3">
        <f t="shared" si="11"/>
        <v>17</v>
      </c>
      <c r="L76">
        <v>2.1</v>
      </c>
      <c r="M76">
        <v>5.3</v>
      </c>
      <c r="N76">
        <v>23.4</v>
      </c>
      <c r="O76">
        <v>2</v>
      </c>
      <c r="P76">
        <v>9</v>
      </c>
      <c r="Q76">
        <v>6</v>
      </c>
      <c r="R76" t="s">
        <v>7</v>
      </c>
      <c r="S76">
        <v>8.4</v>
      </c>
      <c r="T76">
        <v>15.4</v>
      </c>
      <c r="U76">
        <v>5.3</v>
      </c>
      <c r="V76">
        <v>12.5</v>
      </c>
      <c r="W76">
        <v>8.9</v>
      </c>
      <c r="X76">
        <v>4.5</v>
      </c>
      <c r="Y76">
        <v>20.2</v>
      </c>
      <c r="Z76">
        <v>5.9</v>
      </c>
      <c r="AA76">
        <v>9.6999999999999993</v>
      </c>
      <c r="AB76">
        <v>2.5</v>
      </c>
      <c r="AC76">
        <v>3.8</v>
      </c>
    </row>
    <row r="77" spans="1:29" x14ac:dyDescent="0.25">
      <c r="A77">
        <v>83</v>
      </c>
      <c r="B77" t="s">
        <v>198</v>
      </c>
      <c r="C77" t="s">
        <v>36</v>
      </c>
      <c r="D77" s="6">
        <f t="shared" si="6"/>
        <v>6</v>
      </c>
      <c r="E77">
        <v>8.4</v>
      </c>
      <c r="F77">
        <v>92.6</v>
      </c>
      <c r="G77" s="3">
        <f t="shared" si="7"/>
        <v>4</v>
      </c>
      <c r="H77" s="3">
        <f t="shared" si="8"/>
        <v>2</v>
      </c>
      <c r="I77" s="3">
        <f t="shared" si="9"/>
        <v>1</v>
      </c>
      <c r="J77" s="3">
        <f t="shared" si="10"/>
        <v>0</v>
      </c>
      <c r="K77" s="3">
        <f t="shared" si="11"/>
        <v>11</v>
      </c>
      <c r="L77" t="s">
        <v>8</v>
      </c>
      <c r="M77" t="s">
        <v>8</v>
      </c>
      <c r="N77" t="s">
        <v>8</v>
      </c>
      <c r="O77">
        <v>0</v>
      </c>
      <c r="P77">
        <v>10.8</v>
      </c>
      <c r="Q77">
        <v>6</v>
      </c>
      <c r="R77">
        <v>2</v>
      </c>
      <c r="S77">
        <v>17.8</v>
      </c>
      <c r="T77">
        <v>5.6</v>
      </c>
      <c r="U77">
        <v>7.1</v>
      </c>
      <c r="V77" t="s">
        <v>7</v>
      </c>
      <c r="W77" t="s">
        <v>8</v>
      </c>
      <c r="X77" t="s">
        <v>8</v>
      </c>
      <c r="Y77" t="s">
        <v>8</v>
      </c>
      <c r="Z77">
        <v>21</v>
      </c>
      <c r="AA77">
        <v>2.8</v>
      </c>
      <c r="AB77">
        <v>5.5</v>
      </c>
      <c r="AC77">
        <v>14</v>
      </c>
    </row>
    <row r="78" spans="1:29" x14ac:dyDescent="0.25">
      <c r="A78">
        <v>79</v>
      </c>
      <c r="B78" t="s">
        <v>197</v>
      </c>
      <c r="C78" t="s">
        <v>20</v>
      </c>
      <c r="D78" s="6">
        <f t="shared" si="6"/>
        <v>5.9</v>
      </c>
      <c r="E78">
        <v>5.8</v>
      </c>
      <c r="F78">
        <v>98.9</v>
      </c>
      <c r="G78" s="3">
        <f t="shared" si="7"/>
        <v>4</v>
      </c>
      <c r="H78" s="3">
        <f t="shared" si="8"/>
        <v>0</v>
      </c>
      <c r="I78" s="3">
        <f t="shared" si="9"/>
        <v>0</v>
      </c>
      <c r="J78" s="3">
        <f t="shared" si="10"/>
        <v>0</v>
      </c>
      <c r="K78" s="3">
        <f t="shared" si="11"/>
        <v>17</v>
      </c>
      <c r="L78">
        <v>0</v>
      </c>
      <c r="M78">
        <v>7.8</v>
      </c>
      <c r="N78">
        <v>13.3</v>
      </c>
      <c r="O78">
        <v>12.2</v>
      </c>
      <c r="P78">
        <v>12.5</v>
      </c>
      <c r="Q78" t="s">
        <v>7</v>
      </c>
      <c r="R78">
        <v>11.1</v>
      </c>
      <c r="S78">
        <v>2.8</v>
      </c>
      <c r="T78">
        <v>2.6</v>
      </c>
      <c r="U78">
        <v>1.6</v>
      </c>
      <c r="V78">
        <v>3.1</v>
      </c>
      <c r="W78">
        <v>6</v>
      </c>
      <c r="X78">
        <v>5.9</v>
      </c>
      <c r="Y78">
        <v>7.5</v>
      </c>
      <c r="Z78">
        <v>1.6</v>
      </c>
      <c r="AA78">
        <v>2.2000000000000002</v>
      </c>
      <c r="AB78">
        <v>0</v>
      </c>
      <c r="AC78">
        <v>8.6999999999999993</v>
      </c>
    </row>
    <row r="79" spans="1:29" x14ac:dyDescent="0.25">
      <c r="A79">
        <v>62</v>
      </c>
      <c r="B79" t="s">
        <v>173</v>
      </c>
      <c r="C79" t="s">
        <v>76</v>
      </c>
      <c r="D79" s="6">
        <f t="shared" si="6"/>
        <v>5.7</v>
      </c>
      <c r="E79">
        <v>7.3</v>
      </c>
      <c r="F79">
        <v>123.5</v>
      </c>
      <c r="G79" s="3">
        <f t="shared" si="7"/>
        <v>5</v>
      </c>
      <c r="H79" s="3">
        <f t="shared" si="8"/>
        <v>2</v>
      </c>
      <c r="I79" s="3">
        <f t="shared" si="9"/>
        <v>1</v>
      </c>
      <c r="J79" s="3">
        <f t="shared" si="10"/>
        <v>0</v>
      </c>
      <c r="K79" s="3">
        <f t="shared" si="11"/>
        <v>17</v>
      </c>
      <c r="L79">
        <v>8.1999999999999993</v>
      </c>
      <c r="M79">
        <v>7</v>
      </c>
      <c r="N79">
        <v>4.2</v>
      </c>
      <c r="O79">
        <v>5.7</v>
      </c>
      <c r="P79">
        <v>11.8</v>
      </c>
      <c r="Q79" t="s">
        <v>8</v>
      </c>
      <c r="R79">
        <v>1.9</v>
      </c>
      <c r="S79">
        <v>17.5</v>
      </c>
      <c r="T79">
        <v>27.4</v>
      </c>
      <c r="U79">
        <v>3.3</v>
      </c>
      <c r="V79">
        <v>3.9</v>
      </c>
      <c r="W79">
        <v>9.5</v>
      </c>
      <c r="X79">
        <v>12.9</v>
      </c>
      <c r="Y79">
        <v>0</v>
      </c>
      <c r="Z79">
        <v>0</v>
      </c>
      <c r="AA79">
        <v>0</v>
      </c>
      <c r="AB79">
        <v>0</v>
      </c>
      <c r="AC79">
        <v>10.199999999999999</v>
      </c>
    </row>
    <row r="80" spans="1:29" x14ac:dyDescent="0.25">
      <c r="A80">
        <v>186</v>
      </c>
      <c r="B80" t="s">
        <v>302</v>
      </c>
      <c r="C80" t="s">
        <v>69</v>
      </c>
      <c r="D80" s="6">
        <f t="shared" si="6"/>
        <v>5.7</v>
      </c>
      <c r="E80">
        <v>5.7</v>
      </c>
      <c r="F80">
        <v>5.7</v>
      </c>
      <c r="G80" s="3">
        <f t="shared" si="7"/>
        <v>0</v>
      </c>
      <c r="H80" s="3">
        <f t="shared" si="8"/>
        <v>0</v>
      </c>
      <c r="I80" s="3">
        <f t="shared" si="9"/>
        <v>0</v>
      </c>
      <c r="J80" s="3">
        <f t="shared" si="10"/>
        <v>0</v>
      </c>
      <c r="K80" s="3">
        <f t="shared" si="11"/>
        <v>1</v>
      </c>
      <c r="L80" t="s">
        <v>8</v>
      </c>
      <c r="M80">
        <v>5.7</v>
      </c>
      <c r="N80" t="s">
        <v>8</v>
      </c>
      <c r="O80" t="s">
        <v>8</v>
      </c>
      <c r="P80" t="s">
        <v>8</v>
      </c>
      <c r="Q80" t="s">
        <v>8</v>
      </c>
      <c r="R80" t="s">
        <v>8</v>
      </c>
      <c r="S80" t="s">
        <v>8</v>
      </c>
      <c r="T80" t="s">
        <v>8</v>
      </c>
      <c r="U80" t="s">
        <v>7</v>
      </c>
      <c r="V80" t="s">
        <v>8</v>
      </c>
      <c r="W80" t="s">
        <v>8</v>
      </c>
      <c r="X80" t="s">
        <v>8</v>
      </c>
      <c r="Y80" t="s">
        <v>8</v>
      </c>
      <c r="Z80" t="s">
        <v>8</v>
      </c>
      <c r="AA80" t="s">
        <v>8</v>
      </c>
      <c r="AB80" t="s">
        <v>8</v>
      </c>
      <c r="AC80" t="s">
        <v>8</v>
      </c>
    </row>
    <row r="81" spans="1:29" x14ac:dyDescent="0.25">
      <c r="A81">
        <v>91</v>
      </c>
      <c r="B81" t="s">
        <v>207</v>
      </c>
      <c r="C81" t="s">
        <v>34</v>
      </c>
      <c r="D81" s="6">
        <f t="shared" si="6"/>
        <v>5.6999999999999993</v>
      </c>
      <c r="E81">
        <v>5.7</v>
      </c>
      <c r="F81">
        <v>80.3</v>
      </c>
      <c r="G81" s="3">
        <f t="shared" si="7"/>
        <v>2</v>
      </c>
      <c r="H81" s="3">
        <f t="shared" si="8"/>
        <v>0</v>
      </c>
      <c r="I81" s="3">
        <f t="shared" si="9"/>
        <v>0</v>
      </c>
      <c r="J81" s="3">
        <f t="shared" si="10"/>
        <v>0</v>
      </c>
      <c r="K81" s="3">
        <f t="shared" si="11"/>
        <v>14</v>
      </c>
      <c r="L81" t="s">
        <v>8</v>
      </c>
      <c r="M81" t="s">
        <v>8</v>
      </c>
      <c r="N81">
        <v>0</v>
      </c>
      <c r="O81">
        <v>8.1</v>
      </c>
      <c r="P81">
        <v>7.4</v>
      </c>
      <c r="Q81">
        <v>8.4</v>
      </c>
      <c r="R81">
        <v>4.5</v>
      </c>
      <c r="S81">
        <v>4.8</v>
      </c>
      <c r="T81">
        <v>10.9</v>
      </c>
      <c r="U81">
        <v>2</v>
      </c>
      <c r="V81" t="s">
        <v>7</v>
      </c>
      <c r="W81">
        <v>6.6</v>
      </c>
      <c r="X81">
        <v>8.1999999999999993</v>
      </c>
      <c r="Y81">
        <v>10.3</v>
      </c>
      <c r="Z81">
        <v>2.6</v>
      </c>
      <c r="AA81">
        <v>4.4000000000000004</v>
      </c>
      <c r="AB81" t="s">
        <v>8</v>
      </c>
      <c r="AC81">
        <v>2.1</v>
      </c>
    </row>
    <row r="82" spans="1:29" x14ac:dyDescent="0.25">
      <c r="A82">
        <v>68</v>
      </c>
      <c r="B82" t="s">
        <v>176</v>
      </c>
      <c r="C82" t="s">
        <v>30</v>
      </c>
      <c r="D82" s="6">
        <f t="shared" si="6"/>
        <v>5.6</v>
      </c>
      <c r="E82">
        <v>7.1</v>
      </c>
      <c r="F82">
        <v>119.9</v>
      </c>
      <c r="G82" s="3">
        <f t="shared" si="7"/>
        <v>4</v>
      </c>
      <c r="H82" s="3">
        <f t="shared" si="8"/>
        <v>1</v>
      </c>
      <c r="I82" s="3">
        <f t="shared" si="9"/>
        <v>0</v>
      </c>
      <c r="J82" s="3">
        <f t="shared" si="10"/>
        <v>0</v>
      </c>
      <c r="K82" s="3">
        <f t="shared" si="11"/>
        <v>17</v>
      </c>
      <c r="L82">
        <v>5.6</v>
      </c>
      <c r="M82">
        <v>14.7</v>
      </c>
      <c r="N82">
        <v>16.2</v>
      </c>
      <c r="O82">
        <v>3.9</v>
      </c>
      <c r="P82">
        <v>4.9000000000000004</v>
      </c>
      <c r="Q82">
        <v>5.6</v>
      </c>
      <c r="R82">
        <v>0</v>
      </c>
      <c r="S82">
        <v>0</v>
      </c>
      <c r="T82">
        <v>8</v>
      </c>
      <c r="U82">
        <v>4.9000000000000004</v>
      </c>
      <c r="V82">
        <v>7.6</v>
      </c>
      <c r="W82" t="s">
        <v>7</v>
      </c>
      <c r="X82">
        <v>12.5</v>
      </c>
      <c r="Y82">
        <v>8.1</v>
      </c>
      <c r="Z82">
        <v>1.5</v>
      </c>
      <c r="AA82">
        <v>14.3</v>
      </c>
      <c r="AB82">
        <v>8.9</v>
      </c>
      <c r="AC82">
        <v>3.2</v>
      </c>
    </row>
    <row r="83" spans="1:29" x14ac:dyDescent="0.25">
      <c r="A83">
        <v>58</v>
      </c>
      <c r="B83" t="s">
        <v>175</v>
      </c>
      <c r="C83" t="s">
        <v>97</v>
      </c>
      <c r="D83" s="6">
        <f t="shared" si="6"/>
        <v>5.3</v>
      </c>
      <c r="E83">
        <v>7.6</v>
      </c>
      <c r="F83">
        <v>129.30000000000001</v>
      </c>
      <c r="G83" s="3">
        <f t="shared" si="7"/>
        <v>5</v>
      </c>
      <c r="H83" s="3">
        <f t="shared" si="8"/>
        <v>3</v>
      </c>
      <c r="I83" s="3">
        <f t="shared" si="9"/>
        <v>1</v>
      </c>
      <c r="J83" s="3">
        <f t="shared" si="10"/>
        <v>0</v>
      </c>
      <c r="K83" s="3">
        <f t="shared" si="11"/>
        <v>17</v>
      </c>
      <c r="L83">
        <v>4.2</v>
      </c>
      <c r="M83">
        <v>3.3</v>
      </c>
      <c r="N83">
        <v>22.6</v>
      </c>
      <c r="O83">
        <v>15.4</v>
      </c>
      <c r="P83">
        <v>4.5999999999999996</v>
      </c>
      <c r="Q83">
        <v>0</v>
      </c>
      <c r="R83">
        <v>7.7</v>
      </c>
      <c r="S83">
        <v>5.3</v>
      </c>
      <c r="T83">
        <v>2.5</v>
      </c>
      <c r="U83" t="s">
        <v>7</v>
      </c>
      <c r="V83">
        <v>6.5</v>
      </c>
      <c r="W83">
        <v>15.2</v>
      </c>
      <c r="X83">
        <v>13.9</v>
      </c>
      <c r="Y83">
        <v>2.7</v>
      </c>
      <c r="Z83">
        <v>3.8</v>
      </c>
      <c r="AA83">
        <v>5.3</v>
      </c>
      <c r="AB83">
        <v>10.9</v>
      </c>
      <c r="AC83">
        <v>5.4</v>
      </c>
    </row>
    <row r="84" spans="1:29" x14ac:dyDescent="0.25">
      <c r="A84">
        <v>73</v>
      </c>
      <c r="B84" t="s">
        <v>187</v>
      </c>
      <c r="C84" t="s">
        <v>55</v>
      </c>
      <c r="D84" s="6">
        <f t="shared" si="6"/>
        <v>5.15</v>
      </c>
      <c r="E84">
        <v>6.9</v>
      </c>
      <c r="F84">
        <v>110</v>
      </c>
      <c r="G84" s="3">
        <f t="shared" si="7"/>
        <v>4</v>
      </c>
      <c r="H84" s="3">
        <f t="shared" si="8"/>
        <v>1</v>
      </c>
      <c r="I84" s="3">
        <f t="shared" si="9"/>
        <v>1</v>
      </c>
      <c r="J84" s="3">
        <f t="shared" si="10"/>
        <v>0</v>
      </c>
      <c r="K84" s="3">
        <f t="shared" si="11"/>
        <v>16</v>
      </c>
      <c r="L84">
        <v>5.6</v>
      </c>
      <c r="M84">
        <v>6.3</v>
      </c>
      <c r="N84">
        <v>1.7</v>
      </c>
      <c r="O84">
        <v>8.6</v>
      </c>
      <c r="P84">
        <v>26.2</v>
      </c>
      <c r="Q84">
        <v>11.7</v>
      </c>
      <c r="R84">
        <v>2.1</v>
      </c>
      <c r="S84">
        <v>14.8</v>
      </c>
      <c r="T84">
        <v>9</v>
      </c>
      <c r="U84" t="s">
        <v>8</v>
      </c>
      <c r="V84" t="s">
        <v>7</v>
      </c>
      <c r="W84">
        <v>0</v>
      </c>
      <c r="X84">
        <v>2.8</v>
      </c>
      <c r="Y84">
        <v>4.7</v>
      </c>
      <c r="Z84">
        <v>2.6</v>
      </c>
      <c r="AA84">
        <v>3.7</v>
      </c>
      <c r="AB84">
        <v>10.199999999999999</v>
      </c>
      <c r="AC84">
        <v>0</v>
      </c>
    </row>
    <row r="85" spans="1:29" x14ac:dyDescent="0.25">
      <c r="A85">
        <v>82</v>
      </c>
      <c r="B85" t="s">
        <v>196</v>
      </c>
      <c r="C85" t="s">
        <v>76</v>
      </c>
      <c r="D85" s="6">
        <f t="shared" si="6"/>
        <v>5.0999999999999996</v>
      </c>
      <c r="E85">
        <v>8.5</v>
      </c>
      <c r="F85">
        <v>93.5</v>
      </c>
      <c r="G85" s="3">
        <f t="shared" si="7"/>
        <v>4</v>
      </c>
      <c r="H85" s="3">
        <f t="shared" si="8"/>
        <v>3</v>
      </c>
      <c r="I85" s="3">
        <f t="shared" si="9"/>
        <v>1</v>
      </c>
      <c r="J85" s="3">
        <f t="shared" si="10"/>
        <v>0</v>
      </c>
      <c r="K85" s="3">
        <f t="shared" si="11"/>
        <v>11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  <c r="Q85" t="s">
        <v>8</v>
      </c>
      <c r="R85">
        <v>5.0999999999999996</v>
      </c>
      <c r="S85">
        <v>11.7</v>
      </c>
      <c r="T85" t="s">
        <v>7</v>
      </c>
      <c r="U85">
        <v>17.3</v>
      </c>
      <c r="V85">
        <v>0</v>
      </c>
      <c r="W85">
        <v>0</v>
      </c>
      <c r="X85">
        <v>0</v>
      </c>
      <c r="Y85">
        <v>1.5</v>
      </c>
      <c r="Z85">
        <v>2.6</v>
      </c>
      <c r="AA85">
        <v>7.7</v>
      </c>
      <c r="AB85">
        <v>28.7</v>
      </c>
      <c r="AC85">
        <v>18.899999999999999</v>
      </c>
    </row>
    <row r="86" spans="1:29" x14ac:dyDescent="0.25">
      <c r="A86">
        <v>67</v>
      </c>
      <c r="B86" t="s">
        <v>188</v>
      </c>
      <c r="C86" t="s">
        <v>22</v>
      </c>
      <c r="D86" s="6">
        <f t="shared" si="6"/>
        <v>5.0999999999999996</v>
      </c>
      <c r="E86">
        <v>7.1</v>
      </c>
      <c r="F86">
        <v>120.9</v>
      </c>
      <c r="G86" s="3">
        <f t="shared" si="7"/>
        <v>5</v>
      </c>
      <c r="H86" s="3">
        <f t="shared" si="8"/>
        <v>3</v>
      </c>
      <c r="I86" s="3">
        <f t="shared" si="9"/>
        <v>0</v>
      </c>
      <c r="J86" s="3">
        <f t="shared" si="10"/>
        <v>0</v>
      </c>
      <c r="K86" s="3">
        <f t="shared" si="11"/>
        <v>17</v>
      </c>
      <c r="L86">
        <v>3.9</v>
      </c>
      <c r="M86">
        <v>10.4</v>
      </c>
      <c r="N86">
        <v>3.7</v>
      </c>
      <c r="O86">
        <v>2.1</v>
      </c>
      <c r="P86">
        <v>4.0999999999999996</v>
      </c>
      <c r="Q86">
        <v>1.3</v>
      </c>
      <c r="R86">
        <v>10.1</v>
      </c>
      <c r="S86">
        <v>16.5</v>
      </c>
      <c r="T86">
        <v>5.8</v>
      </c>
      <c r="U86" t="s">
        <v>8</v>
      </c>
      <c r="V86">
        <v>18.600000000000001</v>
      </c>
      <c r="W86">
        <v>5.0999999999999996</v>
      </c>
      <c r="X86">
        <v>19.2</v>
      </c>
      <c r="Y86">
        <v>6.4</v>
      </c>
      <c r="Z86">
        <v>1.9</v>
      </c>
      <c r="AA86">
        <v>4.0999999999999996</v>
      </c>
      <c r="AB86">
        <v>1.1000000000000001</v>
      </c>
      <c r="AC86">
        <v>6.6</v>
      </c>
    </row>
    <row r="87" spans="1:29" x14ac:dyDescent="0.25">
      <c r="A87">
        <v>77</v>
      </c>
      <c r="B87" t="s">
        <v>191</v>
      </c>
      <c r="C87" t="s">
        <v>64</v>
      </c>
      <c r="D87" s="6">
        <f t="shared" si="6"/>
        <v>5</v>
      </c>
      <c r="E87">
        <v>6.1</v>
      </c>
      <c r="F87">
        <v>104.2</v>
      </c>
      <c r="G87" s="3">
        <f t="shared" si="7"/>
        <v>2</v>
      </c>
      <c r="H87" s="3">
        <f t="shared" si="8"/>
        <v>1</v>
      </c>
      <c r="I87" s="3">
        <f t="shared" si="9"/>
        <v>0</v>
      </c>
      <c r="J87" s="3">
        <f t="shared" si="10"/>
        <v>0</v>
      </c>
      <c r="K87" s="3">
        <f t="shared" si="11"/>
        <v>17</v>
      </c>
      <c r="L87">
        <v>6</v>
      </c>
      <c r="M87">
        <v>2.6</v>
      </c>
      <c r="N87">
        <v>14.2</v>
      </c>
      <c r="O87">
        <v>0</v>
      </c>
      <c r="P87">
        <v>8.4</v>
      </c>
      <c r="Q87">
        <v>5</v>
      </c>
      <c r="R87" t="s">
        <v>7</v>
      </c>
      <c r="S87">
        <v>3.7</v>
      </c>
      <c r="T87">
        <v>6.6</v>
      </c>
      <c r="U87">
        <v>0</v>
      </c>
      <c r="V87">
        <v>17.600000000000001</v>
      </c>
      <c r="W87">
        <v>7.8</v>
      </c>
      <c r="X87">
        <v>9.5</v>
      </c>
      <c r="Y87">
        <v>4.0999999999999996</v>
      </c>
      <c r="Z87">
        <v>2.7</v>
      </c>
      <c r="AA87">
        <v>2.8</v>
      </c>
      <c r="AB87">
        <v>4.4000000000000004</v>
      </c>
      <c r="AC87">
        <v>8.8000000000000007</v>
      </c>
    </row>
    <row r="88" spans="1:29" x14ac:dyDescent="0.25">
      <c r="A88">
        <v>171</v>
      </c>
      <c r="B88" t="s">
        <v>283</v>
      </c>
      <c r="C88" t="s">
        <v>22</v>
      </c>
      <c r="D88" s="6">
        <f t="shared" si="6"/>
        <v>4.9000000000000004</v>
      </c>
      <c r="E88">
        <v>4.9000000000000004</v>
      </c>
      <c r="F88">
        <v>9.8000000000000007</v>
      </c>
      <c r="G88" s="3">
        <f t="shared" si="7"/>
        <v>0</v>
      </c>
      <c r="H88" s="3">
        <f t="shared" si="8"/>
        <v>0</v>
      </c>
      <c r="I88" s="3">
        <f t="shared" si="9"/>
        <v>0</v>
      </c>
      <c r="J88" s="3">
        <f t="shared" si="10"/>
        <v>0</v>
      </c>
      <c r="K88" s="3">
        <f t="shared" si="11"/>
        <v>2</v>
      </c>
      <c r="L88" t="s">
        <v>8</v>
      </c>
      <c r="M88" t="s">
        <v>8</v>
      </c>
      <c r="N88" t="s">
        <v>8</v>
      </c>
      <c r="O88" t="s">
        <v>8</v>
      </c>
      <c r="P88" t="s">
        <v>8</v>
      </c>
      <c r="Q88">
        <v>9.8000000000000007</v>
      </c>
      <c r="R88">
        <v>0</v>
      </c>
      <c r="S88" t="s">
        <v>8</v>
      </c>
      <c r="T88" t="s">
        <v>8</v>
      </c>
      <c r="U88" t="s">
        <v>8</v>
      </c>
      <c r="V88" t="s">
        <v>8</v>
      </c>
      <c r="W88" t="s">
        <v>7</v>
      </c>
      <c r="X88" t="s">
        <v>8</v>
      </c>
      <c r="Y88" t="s">
        <v>8</v>
      </c>
      <c r="Z88" t="s">
        <v>8</v>
      </c>
      <c r="AA88" t="s">
        <v>8</v>
      </c>
      <c r="AB88" t="s">
        <v>8</v>
      </c>
      <c r="AC88" t="s">
        <v>8</v>
      </c>
    </row>
    <row r="89" spans="1:29" x14ac:dyDescent="0.25">
      <c r="A89">
        <v>93</v>
      </c>
      <c r="B89" t="s">
        <v>209</v>
      </c>
      <c r="C89" t="s">
        <v>90</v>
      </c>
      <c r="D89" s="6">
        <f t="shared" si="6"/>
        <v>4.8499999999999996</v>
      </c>
      <c r="E89">
        <v>4.9000000000000004</v>
      </c>
      <c r="F89">
        <v>78.3</v>
      </c>
      <c r="G89" s="3">
        <f t="shared" si="7"/>
        <v>1</v>
      </c>
      <c r="H89" s="3">
        <f t="shared" si="8"/>
        <v>0</v>
      </c>
      <c r="I89" s="3">
        <f t="shared" si="9"/>
        <v>0</v>
      </c>
      <c r="J89" s="3">
        <f t="shared" si="10"/>
        <v>0</v>
      </c>
      <c r="K89" s="3">
        <f t="shared" si="11"/>
        <v>16</v>
      </c>
      <c r="L89">
        <v>4.8</v>
      </c>
      <c r="M89">
        <v>4.5999999999999996</v>
      </c>
      <c r="N89">
        <v>6.3</v>
      </c>
      <c r="O89">
        <v>5.0999999999999996</v>
      </c>
      <c r="P89" t="s">
        <v>8</v>
      </c>
      <c r="Q89">
        <v>4.9000000000000004</v>
      </c>
      <c r="R89">
        <v>9.3000000000000007</v>
      </c>
      <c r="S89">
        <v>4.4000000000000004</v>
      </c>
      <c r="T89">
        <v>0.3</v>
      </c>
      <c r="U89">
        <v>0</v>
      </c>
      <c r="V89">
        <v>5.4</v>
      </c>
      <c r="W89">
        <v>11.5</v>
      </c>
      <c r="X89">
        <v>6.7</v>
      </c>
      <c r="Y89">
        <v>1.7</v>
      </c>
      <c r="Z89">
        <v>5.9</v>
      </c>
      <c r="AA89">
        <v>4</v>
      </c>
      <c r="AB89">
        <v>3.4</v>
      </c>
      <c r="AC89" t="s">
        <v>8</v>
      </c>
    </row>
    <row r="90" spans="1:29" x14ac:dyDescent="0.25">
      <c r="A90">
        <v>66</v>
      </c>
      <c r="B90" t="s">
        <v>184</v>
      </c>
      <c r="C90" t="s">
        <v>47</v>
      </c>
      <c r="D90" s="6">
        <f t="shared" si="6"/>
        <v>4.8</v>
      </c>
      <c r="E90">
        <v>7.1</v>
      </c>
      <c r="F90">
        <v>121</v>
      </c>
      <c r="G90" s="3">
        <f t="shared" si="7"/>
        <v>5</v>
      </c>
      <c r="H90" s="3">
        <f t="shared" si="8"/>
        <v>2</v>
      </c>
      <c r="I90" s="3">
        <f t="shared" si="9"/>
        <v>0</v>
      </c>
      <c r="J90" s="3">
        <f t="shared" si="10"/>
        <v>0</v>
      </c>
      <c r="K90" s="3">
        <f t="shared" si="11"/>
        <v>17</v>
      </c>
      <c r="L90">
        <v>13.7</v>
      </c>
      <c r="M90">
        <v>3.5</v>
      </c>
      <c r="N90">
        <v>9.6</v>
      </c>
      <c r="O90">
        <v>11.1</v>
      </c>
      <c r="P90">
        <v>11.5</v>
      </c>
      <c r="Q90">
        <v>16.5</v>
      </c>
      <c r="R90">
        <v>8.5</v>
      </c>
      <c r="S90">
        <v>1.9</v>
      </c>
      <c r="T90">
        <v>15.3</v>
      </c>
      <c r="U90" t="s">
        <v>8</v>
      </c>
      <c r="V90">
        <v>3.9</v>
      </c>
      <c r="W90">
        <v>4</v>
      </c>
      <c r="X90">
        <v>4.5999999999999996</v>
      </c>
      <c r="Y90">
        <v>0</v>
      </c>
      <c r="Z90">
        <v>3.2</v>
      </c>
      <c r="AA90">
        <v>3.9</v>
      </c>
      <c r="AB90">
        <v>5</v>
      </c>
      <c r="AC90">
        <v>4.8</v>
      </c>
    </row>
    <row r="91" spans="1:29" x14ac:dyDescent="0.25">
      <c r="A91">
        <v>80</v>
      </c>
      <c r="B91" t="s">
        <v>194</v>
      </c>
      <c r="C91" t="s">
        <v>57</v>
      </c>
      <c r="D91" s="6">
        <f t="shared" si="6"/>
        <v>4.7</v>
      </c>
      <c r="E91">
        <v>5.8</v>
      </c>
      <c r="F91">
        <v>98.8</v>
      </c>
      <c r="G91" s="3">
        <f t="shared" si="7"/>
        <v>4</v>
      </c>
      <c r="H91" s="3">
        <f t="shared" si="8"/>
        <v>1</v>
      </c>
      <c r="I91" s="3">
        <f t="shared" si="9"/>
        <v>0</v>
      </c>
      <c r="J91" s="3">
        <f t="shared" si="10"/>
        <v>0</v>
      </c>
      <c r="K91" s="3">
        <f t="shared" si="11"/>
        <v>17</v>
      </c>
      <c r="L91">
        <v>10.5</v>
      </c>
      <c r="M91">
        <v>0</v>
      </c>
      <c r="N91">
        <v>2.6</v>
      </c>
      <c r="O91">
        <v>1.5</v>
      </c>
      <c r="P91">
        <v>4.7</v>
      </c>
      <c r="Q91">
        <v>7.8</v>
      </c>
      <c r="R91">
        <v>0</v>
      </c>
      <c r="S91">
        <v>0</v>
      </c>
      <c r="T91">
        <v>14</v>
      </c>
      <c r="U91">
        <v>12.6</v>
      </c>
      <c r="V91">
        <v>4.7</v>
      </c>
      <c r="W91" t="s">
        <v>8</v>
      </c>
      <c r="X91">
        <v>7.7</v>
      </c>
      <c r="Y91">
        <v>15.7</v>
      </c>
      <c r="Z91">
        <v>1.7</v>
      </c>
      <c r="AA91">
        <v>4.5</v>
      </c>
      <c r="AB91">
        <v>5.3</v>
      </c>
      <c r="AC91">
        <v>5.5</v>
      </c>
    </row>
    <row r="92" spans="1:29" x14ac:dyDescent="0.25">
      <c r="A92">
        <v>69</v>
      </c>
      <c r="B92" t="s">
        <v>178</v>
      </c>
      <c r="C92" t="s">
        <v>78</v>
      </c>
      <c r="D92" s="6">
        <f t="shared" si="6"/>
        <v>4.5999999999999996</v>
      </c>
      <c r="E92">
        <v>7</v>
      </c>
      <c r="F92">
        <v>118.8</v>
      </c>
      <c r="G92" s="3">
        <f t="shared" si="7"/>
        <v>6</v>
      </c>
      <c r="H92" s="3">
        <f t="shared" si="8"/>
        <v>3</v>
      </c>
      <c r="I92" s="3">
        <f t="shared" si="9"/>
        <v>1</v>
      </c>
      <c r="J92" s="3">
        <f t="shared" si="10"/>
        <v>0</v>
      </c>
      <c r="K92" s="3">
        <f t="shared" si="11"/>
        <v>17</v>
      </c>
      <c r="L92">
        <v>1.7</v>
      </c>
      <c r="M92">
        <v>1.6</v>
      </c>
      <c r="N92">
        <v>19.5</v>
      </c>
      <c r="O92">
        <v>2.7</v>
      </c>
      <c r="P92">
        <v>1.6</v>
      </c>
      <c r="Q92">
        <v>5.6</v>
      </c>
      <c r="R92">
        <v>4.5999999999999996</v>
      </c>
      <c r="S92">
        <v>20.399999999999999</v>
      </c>
      <c r="T92" t="s">
        <v>7</v>
      </c>
      <c r="U92">
        <v>4</v>
      </c>
      <c r="V92">
        <v>0.9</v>
      </c>
      <c r="W92">
        <v>16.8</v>
      </c>
      <c r="X92">
        <v>10.9</v>
      </c>
      <c r="Y92">
        <v>1.4</v>
      </c>
      <c r="Z92">
        <v>11.5</v>
      </c>
      <c r="AA92">
        <v>10.5</v>
      </c>
      <c r="AB92">
        <v>7.1</v>
      </c>
      <c r="AC92">
        <v>-2</v>
      </c>
    </row>
    <row r="93" spans="1:29" x14ac:dyDescent="0.25">
      <c r="A93">
        <v>70</v>
      </c>
      <c r="B93" t="s">
        <v>189</v>
      </c>
      <c r="C93" t="s">
        <v>43</v>
      </c>
      <c r="D93" s="6">
        <f t="shared" si="6"/>
        <v>4.4000000000000004</v>
      </c>
      <c r="E93">
        <v>6.6</v>
      </c>
      <c r="F93">
        <v>112.4</v>
      </c>
      <c r="G93" s="3">
        <f t="shared" si="7"/>
        <v>3</v>
      </c>
      <c r="H93" s="3">
        <f t="shared" si="8"/>
        <v>2</v>
      </c>
      <c r="I93" s="3">
        <f t="shared" si="9"/>
        <v>2</v>
      </c>
      <c r="J93" s="3">
        <f t="shared" si="10"/>
        <v>0</v>
      </c>
      <c r="K93" s="3">
        <f t="shared" si="11"/>
        <v>17</v>
      </c>
      <c r="L93">
        <v>2.5</v>
      </c>
      <c r="M93">
        <v>4.4000000000000004</v>
      </c>
      <c r="N93">
        <v>0</v>
      </c>
      <c r="O93">
        <v>14.5</v>
      </c>
      <c r="P93">
        <v>2</v>
      </c>
      <c r="Q93">
        <v>6.7</v>
      </c>
      <c r="R93">
        <v>6.5</v>
      </c>
      <c r="S93">
        <v>0</v>
      </c>
      <c r="T93">
        <v>6.8</v>
      </c>
      <c r="U93">
        <v>-0.2</v>
      </c>
      <c r="V93">
        <v>2</v>
      </c>
      <c r="W93">
        <v>1.8</v>
      </c>
      <c r="X93">
        <v>4.4000000000000004</v>
      </c>
      <c r="Y93" t="s">
        <v>8</v>
      </c>
      <c r="Z93">
        <v>6.6</v>
      </c>
      <c r="AA93">
        <v>24</v>
      </c>
      <c r="AB93">
        <v>23.3</v>
      </c>
      <c r="AC93">
        <v>7.1</v>
      </c>
    </row>
    <row r="94" spans="1:29" x14ac:dyDescent="0.25">
      <c r="A94">
        <v>103</v>
      </c>
      <c r="B94" t="s">
        <v>216</v>
      </c>
      <c r="C94" t="s">
        <v>47</v>
      </c>
      <c r="D94" s="6">
        <f t="shared" si="6"/>
        <v>4.0999999999999996</v>
      </c>
      <c r="E94">
        <v>3.7</v>
      </c>
      <c r="F94">
        <v>63.6</v>
      </c>
      <c r="G94" s="3">
        <f t="shared" si="7"/>
        <v>1</v>
      </c>
      <c r="H94" s="3">
        <f t="shared" si="8"/>
        <v>0</v>
      </c>
      <c r="I94" s="3">
        <f t="shared" si="9"/>
        <v>0</v>
      </c>
      <c r="J94" s="3">
        <f t="shared" si="10"/>
        <v>0</v>
      </c>
      <c r="K94" s="3">
        <f t="shared" si="11"/>
        <v>17</v>
      </c>
      <c r="L94">
        <v>1.1000000000000001</v>
      </c>
      <c r="M94">
        <v>3.4</v>
      </c>
      <c r="N94">
        <v>0</v>
      </c>
      <c r="O94">
        <v>4.0999999999999996</v>
      </c>
      <c r="P94">
        <v>5.6</v>
      </c>
      <c r="Q94">
        <v>0</v>
      </c>
      <c r="R94">
        <v>9.5</v>
      </c>
      <c r="S94">
        <v>10.199999999999999</v>
      </c>
      <c r="T94" t="s">
        <v>8</v>
      </c>
      <c r="U94">
        <v>0</v>
      </c>
      <c r="V94">
        <v>0</v>
      </c>
      <c r="W94">
        <v>5.9</v>
      </c>
      <c r="X94">
        <v>5.3</v>
      </c>
      <c r="Y94">
        <v>8</v>
      </c>
      <c r="Z94">
        <v>1</v>
      </c>
      <c r="AA94">
        <v>4.7</v>
      </c>
      <c r="AB94">
        <v>0</v>
      </c>
      <c r="AC94">
        <v>4.8</v>
      </c>
    </row>
    <row r="95" spans="1:29" x14ac:dyDescent="0.25">
      <c r="A95">
        <v>72</v>
      </c>
      <c r="B95" t="s">
        <v>185</v>
      </c>
      <c r="C95" t="s">
        <v>16</v>
      </c>
      <c r="D95" s="6">
        <f t="shared" si="6"/>
        <v>4</v>
      </c>
      <c r="E95">
        <v>6.5</v>
      </c>
      <c r="F95">
        <v>110.5</v>
      </c>
      <c r="G95" s="3">
        <f t="shared" si="7"/>
        <v>4</v>
      </c>
      <c r="H95" s="3">
        <f t="shared" si="8"/>
        <v>1</v>
      </c>
      <c r="I95" s="3">
        <f t="shared" si="9"/>
        <v>1</v>
      </c>
      <c r="J95" s="3">
        <f t="shared" si="10"/>
        <v>0</v>
      </c>
      <c r="K95" s="3">
        <f t="shared" si="11"/>
        <v>17</v>
      </c>
      <c r="L95">
        <v>0</v>
      </c>
      <c r="M95">
        <v>11.6</v>
      </c>
      <c r="N95">
        <v>0</v>
      </c>
      <c r="O95">
        <v>24.8</v>
      </c>
      <c r="P95">
        <v>4</v>
      </c>
      <c r="Q95">
        <v>1.9</v>
      </c>
      <c r="R95">
        <v>13.8</v>
      </c>
      <c r="S95">
        <v>3.1</v>
      </c>
      <c r="T95">
        <v>0</v>
      </c>
      <c r="U95" t="s">
        <v>7</v>
      </c>
      <c r="V95">
        <v>0</v>
      </c>
      <c r="W95">
        <v>3.5</v>
      </c>
      <c r="X95">
        <v>7</v>
      </c>
      <c r="Y95">
        <v>8.9</v>
      </c>
      <c r="Z95">
        <v>3.4</v>
      </c>
      <c r="AA95">
        <v>10.3</v>
      </c>
      <c r="AB95">
        <v>8.3000000000000007</v>
      </c>
      <c r="AC95">
        <v>9.9</v>
      </c>
    </row>
    <row r="96" spans="1:29" x14ac:dyDescent="0.25">
      <c r="A96">
        <v>84</v>
      </c>
      <c r="B96" t="s">
        <v>199</v>
      </c>
      <c r="C96" t="s">
        <v>10</v>
      </c>
      <c r="D96" s="6">
        <f t="shared" si="6"/>
        <v>4</v>
      </c>
      <c r="E96">
        <v>5.8</v>
      </c>
      <c r="F96">
        <v>92.4</v>
      </c>
      <c r="G96" s="3">
        <f t="shared" si="7"/>
        <v>2</v>
      </c>
      <c r="H96" s="3">
        <f t="shared" si="8"/>
        <v>1</v>
      </c>
      <c r="I96" s="3">
        <f t="shared" si="9"/>
        <v>1</v>
      </c>
      <c r="J96" s="3">
        <f t="shared" si="10"/>
        <v>0</v>
      </c>
      <c r="K96" s="3">
        <f t="shared" si="11"/>
        <v>16</v>
      </c>
      <c r="L96" t="s">
        <v>8</v>
      </c>
      <c r="M96">
        <v>3.2</v>
      </c>
      <c r="N96">
        <v>1.8</v>
      </c>
      <c r="O96">
        <v>7.2</v>
      </c>
      <c r="P96" t="s">
        <v>7</v>
      </c>
      <c r="Q96">
        <v>9.8000000000000007</v>
      </c>
      <c r="R96">
        <v>4.5</v>
      </c>
      <c r="S96">
        <v>0</v>
      </c>
      <c r="T96">
        <v>3.2</v>
      </c>
      <c r="U96">
        <v>0</v>
      </c>
      <c r="V96">
        <v>5.6</v>
      </c>
      <c r="W96">
        <v>9.5</v>
      </c>
      <c r="X96">
        <v>6.8</v>
      </c>
      <c r="Y96">
        <v>22.3</v>
      </c>
      <c r="Z96">
        <v>13</v>
      </c>
      <c r="AA96">
        <v>0</v>
      </c>
      <c r="AB96">
        <v>2</v>
      </c>
      <c r="AC96">
        <v>3.5</v>
      </c>
    </row>
    <row r="97" spans="1:29" x14ac:dyDescent="0.25">
      <c r="A97">
        <v>99</v>
      </c>
      <c r="B97" t="s">
        <v>217</v>
      </c>
      <c r="C97" t="s">
        <v>57</v>
      </c>
      <c r="D97" s="6">
        <f t="shared" si="6"/>
        <v>4</v>
      </c>
      <c r="E97">
        <v>5.4</v>
      </c>
      <c r="F97">
        <v>65.099999999999994</v>
      </c>
      <c r="G97" s="3">
        <f t="shared" si="7"/>
        <v>1</v>
      </c>
      <c r="H97" s="3">
        <f t="shared" si="8"/>
        <v>1</v>
      </c>
      <c r="I97" s="3">
        <f t="shared" si="9"/>
        <v>0</v>
      </c>
      <c r="J97" s="3">
        <f t="shared" si="10"/>
        <v>0</v>
      </c>
      <c r="K97" s="3">
        <f t="shared" si="11"/>
        <v>12</v>
      </c>
      <c r="L97" t="s">
        <v>8</v>
      </c>
      <c r="M97" t="s">
        <v>8</v>
      </c>
      <c r="N97" t="s">
        <v>8</v>
      </c>
      <c r="O97" t="s">
        <v>8</v>
      </c>
      <c r="P97">
        <v>1.6</v>
      </c>
      <c r="Q97">
        <v>2.9</v>
      </c>
      <c r="R97">
        <v>2.4</v>
      </c>
      <c r="S97">
        <v>0</v>
      </c>
      <c r="T97">
        <v>8.1</v>
      </c>
      <c r="U97" t="s">
        <v>8</v>
      </c>
      <c r="V97">
        <v>18</v>
      </c>
      <c r="W97">
        <v>6</v>
      </c>
      <c r="X97">
        <v>7.5</v>
      </c>
      <c r="Y97" t="s">
        <v>7</v>
      </c>
      <c r="Z97">
        <v>7.4</v>
      </c>
      <c r="AA97">
        <v>3.8</v>
      </c>
      <c r="AB97">
        <v>4.2</v>
      </c>
      <c r="AC97">
        <v>3.2</v>
      </c>
    </row>
    <row r="98" spans="1:29" x14ac:dyDescent="0.25">
      <c r="A98">
        <v>192</v>
      </c>
      <c r="B98" t="s">
        <v>307</v>
      </c>
      <c r="C98" t="s">
        <v>66</v>
      </c>
      <c r="D98" s="6">
        <f t="shared" si="6"/>
        <v>4</v>
      </c>
      <c r="E98">
        <v>4</v>
      </c>
      <c r="F98">
        <v>4</v>
      </c>
      <c r="G98" s="3">
        <f t="shared" si="7"/>
        <v>0</v>
      </c>
      <c r="H98" s="3">
        <f t="shared" si="8"/>
        <v>0</v>
      </c>
      <c r="I98" s="3">
        <f t="shared" si="9"/>
        <v>0</v>
      </c>
      <c r="J98" s="3">
        <f t="shared" si="10"/>
        <v>0</v>
      </c>
      <c r="K98" s="3">
        <f t="shared" si="11"/>
        <v>1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  <c r="Q98" t="s">
        <v>8</v>
      </c>
      <c r="R98" t="s">
        <v>8</v>
      </c>
      <c r="S98" t="s">
        <v>8</v>
      </c>
      <c r="T98">
        <v>4</v>
      </c>
      <c r="U98" t="s">
        <v>8</v>
      </c>
      <c r="V98" t="s">
        <v>8</v>
      </c>
      <c r="W98" t="s">
        <v>7</v>
      </c>
      <c r="X98" t="s">
        <v>8</v>
      </c>
      <c r="Y98" t="s">
        <v>8</v>
      </c>
      <c r="Z98" t="s">
        <v>8</v>
      </c>
      <c r="AA98" t="s">
        <v>8</v>
      </c>
      <c r="AB98" t="s">
        <v>8</v>
      </c>
      <c r="AC98" t="s">
        <v>8</v>
      </c>
    </row>
    <row r="99" spans="1:29" x14ac:dyDescent="0.25">
      <c r="A99">
        <v>131</v>
      </c>
      <c r="B99" t="s">
        <v>245</v>
      </c>
      <c r="C99" t="s">
        <v>26</v>
      </c>
      <c r="D99" s="6">
        <f t="shared" si="6"/>
        <v>3.95</v>
      </c>
      <c r="E99">
        <v>4</v>
      </c>
      <c r="F99">
        <v>32</v>
      </c>
      <c r="G99" s="3">
        <f t="shared" si="7"/>
        <v>0</v>
      </c>
      <c r="H99" s="3">
        <f t="shared" si="8"/>
        <v>0</v>
      </c>
      <c r="I99" s="3">
        <f t="shared" si="9"/>
        <v>0</v>
      </c>
      <c r="J99" s="3">
        <f t="shared" si="10"/>
        <v>0</v>
      </c>
      <c r="K99" s="3">
        <f t="shared" si="11"/>
        <v>8</v>
      </c>
      <c r="L99" t="s">
        <v>8</v>
      </c>
      <c r="M99" t="s">
        <v>8</v>
      </c>
      <c r="N99" t="s">
        <v>8</v>
      </c>
      <c r="O99" t="s">
        <v>8</v>
      </c>
      <c r="P99" t="s">
        <v>8</v>
      </c>
      <c r="Q99" t="s">
        <v>8</v>
      </c>
      <c r="R99" t="s">
        <v>8</v>
      </c>
      <c r="S99" t="s">
        <v>8</v>
      </c>
      <c r="T99" t="s">
        <v>8</v>
      </c>
      <c r="U99">
        <v>1.8</v>
      </c>
      <c r="V99">
        <v>1.9</v>
      </c>
      <c r="W99" t="s">
        <v>7</v>
      </c>
      <c r="X99">
        <v>3.5</v>
      </c>
      <c r="Y99">
        <v>0</v>
      </c>
      <c r="Z99">
        <v>4.4000000000000004</v>
      </c>
      <c r="AA99">
        <v>5.0999999999999996</v>
      </c>
      <c r="AB99">
        <v>5.7</v>
      </c>
      <c r="AC99">
        <v>9.6</v>
      </c>
    </row>
    <row r="100" spans="1:29" x14ac:dyDescent="0.25">
      <c r="A100">
        <v>57</v>
      </c>
      <c r="B100" t="s">
        <v>170</v>
      </c>
      <c r="C100" t="s">
        <v>50</v>
      </c>
      <c r="D100" s="6">
        <f t="shared" si="6"/>
        <v>3.8</v>
      </c>
      <c r="E100">
        <v>7.6</v>
      </c>
      <c r="F100">
        <v>129.5</v>
      </c>
      <c r="G100" s="3">
        <f t="shared" si="7"/>
        <v>4</v>
      </c>
      <c r="H100" s="3">
        <f t="shared" si="8"/>
        <v>3</v>
      </c>
      <c r="I100" s="3">
        <f t="shared" si="9"/>
        <v>2</v>
      </c>
      <c r="J100" s="3">
        <f t="shared" si="10"/>
        <v>1</v>
      </c>
      <c r="K100" s="3">
        <f t="shared" si="11"/>
        <v>17</v>
      </c>
      <c r="L100">
        <v>0</v>
      </c>
      <c r="M100">
        <v>2</v>
      </c>
      <c r="N100">
        <v>1.9</v>
      </c>
      <c r="O100">
        <v>0</v>
      </c>
      <c r="P100">
        <v>3.4</v>
      </c>
      <c r="Q100">
        <v>0</v>
      </c>
      <c r="R100">
        <v>3.8</v>
      </c>
      <c r="S100">
        <v>1.8</v>
      </c>
      <c r="T100">
        <v>1.4</v>
      </c>
      <c r="U100">
        <v>7</v>
      </c>
      <c r="V100">
        <v>13.3</v>
      </c>
      <c r="W100">
        <v>7.2</v>
      </c>
      <c r="X100">
        <v>19.899999999999999</v>
      </c>
      <c r="Y100" t="s">
        <v>7</v>
      </c>
      <c r="Z100">
        <v>6</v>
      </c>
      <c r="AA100">
        <v>9.5</v>
      </c>
      <c r="AB100">
        <v>30.2</v>
      </c>
      <c r="AC100">
        <v>22.1</v>
      </c>
    </row>
    <row r="101" spans="1:29" x14ac:dyDescent="0.25">
      <c r="A101">
        <v>81</v>
      </c>
      <c r="B101" t="s">
        <v>195</v>
      </c>
      <c r="C101" t="s">
        <v>66</v>
      </c>
      <c r="D101" s="6">
        <f t="shared" si="6"/>
        <v>3.8</v>
      </c>
      <c r="E101">
        <v>5.7</v>
      </c>
      <c r="F101">
        <v>97</v>
      </c>
      <c r="G101" s="3">
        <f t="shared" si="7"/>
        <v>3</v>
      </c>
      <c r="H101" s="3">
        <f t="shared" si="8"/>
        <v>1</v>
      </c>
      <c r="I101" s="3">
        <f t="shared" si="9"/>
        <v>1</v>
      </c>
      <c r="J101" s="3">
        <f t="shared" si="10"/>
        <v>0</v>
      </c>
      <c r="K101" s="3">
        <f t="shared" si="11"/>
        <v>17</v>
      </c>
      <c r="L101">
        <v>1.3</v>
      </c>
      <c r="M101">
        <v>0</v>
      </c>
      <c r="N101">
        <v>3.8</v>
      </c>
      <c r="O101">
        <v>0</v>
      </c>
      <c r="P101">
        <v>0</v>
      </c>
      <c r="Q101">
        <v>0</v>
      </c>
      <c r="R101">
        <v>6</v>
      </c>
      <c r="S101">
        <v>7.6</v>
      </c>
      <c r="T101">
        <v>7.1</v>
      </c>
      <c r="U101">
        <v>0</v>
      </c>
      <c r="V101">
        <v>2</v>
      </c>
      <c r="W101" t="s">
        <v>7</v>
      </c>
      <c r="X101">
        <v>24.3</v>
      </c>
      <c r="Y101">
        <v>3.5</v>
      </c>
      <c r="Z101">
        <v>8.4</v>
      </c>
      <c r="AA101">
        <v>11.4</v>
      </c>
      <c r="AB101">
        <v>12.1</v>
      </c>
      <c r="AC101">
        <v>9.5</v>
      </c>
    </row>
    <row r="102" spans="1:29" x14ac:dyDescent="0.25">
      <c r="A102">
        <v>88</v>
      </c>
      <c r="B102" t="s">
        <v>204</v>
      </c>
      <c r="C102" t="s">
        <v>36</v>
      </c>
      <c r="D102" s="6">
        <f t="shared" si="6"/>
        <v>3.8</v>
      </c>
      <c r="E102">
        <v>5</v>
      </c>
      <c r="F102">
        <v>85.1</v>
      </c>
      <c r="G102" s="3">
        <f t="shared" si="7"/>
        <v>2</v>
      </c>
      <c r="H102" s="3">
        <f t="shared" si="8"/>
        <v>1</v>
      </c>
      <c r="I102" s="3">
        <f t="shared" si="9"/>
        <v>1</v>
      </c>
      <c r="J102" s="3">
        <f t="shared" si="10"/>
        <v>0</v>
      </c>
      <c r="K102" s="3">
        <f t="shared" si="11"/>
        <v>17</v>
      </c>
      <c r="L102">
        <v>2.4</v>
      </c>
      <c r="M102">
        <v>0</v>
      </c>
      <c r="N102">
        <v>0</v>
      </c>
      <c r="O102">
        <v>0</v>
      </c>
      <c r="P102">
        <v>3.3</v>
      </c>
      <c r="Q102">
        <v>3.7</v>
      </c>
      <c r="R102">
        <v>0</v>
      </c>
      <c r="S102">
        <v>7.9</v>
      </c>
      <c r="T102">
        <v>4</v>
      </c>
      <c r="U102">
        <v>3.8</v>
      </c>
      <c r="V102" t="s">
        <v>7</v>
      </c>
      <c r="W102">
        <v>20.100000000000001</v>
      </c>
      <c r="X102">
        <v>9</v>
      </c>
      <c r="Y102">
        <v>4.5</v>
      </c>
      <c r="Z102">
        <v>3.9</v>
      </c>
      <c r="AA102">
        <v>11.9</v>
      </c>
      <c r="AB102">
        <v>2.7</v>
      </c>
      <c r="AC102">
        <v>7.9</v>
      </c>
    </row>
    <row r="103" spans="1:29" x14ac:dyDescent="0.25">
      <c r="A103">
        <v>85</v>
      </c>
      <c r="B103" t="s">
        <v>202</v>
      </c>
      <c r="C103" t="s">
        <v>28</v>
      </c>
      <c r="D103" s="6">
        <f t="shared" si="6"/>
        <v>3.7</v>
      </c>
      <c r="E103">
        <v>5.3</v>
      </c>
      <c r="F103">
        <v>90.3</v>
      </c>
      <c r="G103" s="3">
        <f t="shared" si="7"/>
        <v>2</v>
      </c>
      <c r="H103" s="3">
        <f t="shared" si="8"/>
        <v>1</v>
      </c>
      <c r="I103" s="3">
        <f t="shared" si="9"/>
        <v>1</v>
      </c>
      <c r="J103" s="3">
        <f t="shared" si="10"/>
        <v>0</v>
      </c>
      <c r="K103" s="3">
        <f t="shared" si="11"/>
        <v>17</v>
      </c>
      <c r="L103">
        <v>11.1</v>
      </c>
      <c r="M103">
        <v>3.1</v>
      </c>
      <c r="N103">
        <v>6.5</v>
      </c>
      <c r="O103">
        <v>7.8</v>
      </c>
      <c r="P103">
        <v>1.7</v>
      </c>
      <c r="Q103">
        <v>4.5999999999999996</v>
      </c>
      <c r="R103">
        <v>7.5</v>
      </c>
      <c r="S103">
        <v>1.9</v>
      </c>
      <c r="T103">
        <v>0</v>
      </c>
      <c r="U103">
        <v>0.9</v>
      </c>
      <c r="V103" t="s">
        <v>7</v>
      </c>
      <c r="W103">
        <v>1.5</v>
      </c>
      <c r="X103">
        <v>2.7</v>
      </c>
      <c r="Y103">
        <v>1.5</v>
      </c>
      <c r="Z103">
        <v>9.6</v>
      </c>
      <c r="AA103">
        <v>3.7</v>
      </c>
      <c r="AB103">
        <v>4.8</v>
      </c>
      <c r="AC103">
        <v>21.4</v>
      </c>
    </row>
    <row r="104" spans="1:29" x14ac:dyDescent="0.25">
      <c r="A104">
        <v>78</v>
      </c>
      <c r="B104" t="s">
        <v>190</v>
      </c>
      <c r="C104" t="s">
        <v>38</v>
      </c>
      <c r="D104" s="6">
        <f t="shared" si="6"/>
        <v>3.6</v>
      </c>
      <c r="E104">
        <v>6.1</v>
      </c>
      <c r="F104">
        <v>103</v>
      </c>
      <c r="G104" s="3">
        <f t="shared" si="7"/>
        <v>4</v>
      </c>
      <c r="H104" s="3">
        <f t="shared" si="8"/>
        <v>1</v>
      </c>
      <c r="I104" s="3">
        <f t="shared" si="9"/>
        <v>0</v>
      </c>
      <c r="J104" s="3">
        <f t="shared" si="10"/>
        <v>0</v>
      </c>
      <c r="K104" s="3">
        <f t="shared" si="11"/>
        <v>17</v>
      </c>
      <c r="L104">
        <v>9.1</v>
      </c>
      <c r="M104">
        <v>14.4</v>
      </c>
      <c r="N104">
        <v>12.4</v>
      </c>
      <c r="O104">
        <v>2.1</v>
      </c>
      <c r="P104">
        <v>0</v>
      </c>
      <c r="Q104" t="s">
        <v>7</v>
      </c>
      <c r="R104">
        <v>11.6</v>
      </c>
      <c r="S104">
        <v>3.6</v>
      </c>
      <c r="T104">
        <v>7.7</v>
      </c>
      <c r="U104">
        <v>1.4</v>
      </c>
      <c r="V104">
        <v>0</v>
      </c>
      <c r="W104">
        <v>7.5</v>
      </c>
      <c r="X104">
        <v>2.8</v>
      </c>
      <c r="Y104">
        <v>0</v>
      </c>
      <c r="Z104">
        <v>1.5</v>
      </c>
      <c r="AA104">
        <v>1.5</v>
      </c>
      <c r="AB104">
        <v>19.100000000000001</v>
      </c>
      <c r="AC104">
        <v>8.3000000000000007</v>
      </c>
    </row>
    <row r="105" spans="1:29" x14ac:dyDescent="0.25">
      <c r="A105">
        <v>109</v>
      </c>
      <c r="B105" t="s">
        <v>226</v>
      </c>
      <c r="C105" t="s">
        <v>32</v>
      </c>
      <c r="D105" s="6">
        <f t="shared" si="6"/>
        <v>3.6</v>
      </c>
      <c r="E105">
        <v>4.3</v>
      </c>
      <c r="F105">
        <v>55.4</v>
      </c>
      <c r="G105" s="3">
        <f t="shared" si="7"/>
        <v>1</v>
      </c>
      <c r="H105" s="3">
        <f t="shared" si="8"/>
        <v>1</v>
      </c>
      <c r="I105" s="3">
        <f t="shared" si="9"/>
        <v>0</v>
      </c>
      <c r="J105" s="3">
        <f t="shared" si="10"/>
        <v>0</v>
      </c>
      <c r="K105" s="3">
        <f t="shared" si="11"/>
        <v>13</v>
      </c>
      <c r="L105" t="s">
        <v>8</v>
      </c>
      <c r="M105" t="s">
        <v>8</v>
      </c>
      <c r="N105" t="s">
        <v>8</v>
      </c>
      <c r="O105">
        <v>1.7</v>
      </c>
      <c r="P105">
        <v>0</v>
      </c>
      <c r="Q105">
        <v>0</v>
      </c>
      <c r="R105">
        <v>0</v>
      </c>
      <c r="S105">
        <v>5.9</v>
      </c>
      <c r="T105">
        <v>0</v>
      </c>
      <c r="U105">
        <v>18.399999999999999</v>
      </c>
      <c r="V105">
        <v>6.3</v>
      </c>
      <c r="W105">
        <v>1.6</v>
      </c>
      <c r="X105">
        <v>3.6</v>
      </c>
      <c r="Y105" t="s">
        <v>7</v>
      </c>
      <c r="Z105">
        <v>3.7</v>
      </c>
      <c r="AA105" t="s">
        <v>8</v>
      </c>
      <c r="AB105">
        <v>9.8000000000000007</v>
      </c>
      <c r="AC105">
        <v>4.4000000000000004</v>
      </c>
    </row>
    <row r="106" spans="1:29" x14ac:dyDescent="0.25">
      <c r="A106">
        <v>86</v>
      </c>
      <c r="B106" t="s">
        <v>201</v>
      </c>
      <c r="C106" t="s">
        <v>69</v>
      </c>
      <c r="D106" s="6">
        <f t="shared" si="6"/>
        <v>3.55</v>
      </c>
      <c r="E106">
        <v>7.4</v>
      </c>
      <c r="F106">
        <v>89.1</v>
      </c>
      <c r="G106" s="3">
        <f t="shared" si="7"/>
        <v>3</v>
      </c>
      <c r="H106" s="3">
        <f t="shared" si="8"/>
        <v>3</v>
      </c>
      <c r="I106" s="3">
        <f t="shared" si="9"/>
        <v>2</v>
      </c>
      <c r="J106" s="3">
        <f t="shared" si="10"/>
        <v>0</v>
      </c>
      <c r="K106" s="3">
        <f t="shared" si="11"/>
        <v>12</v>
      </c>
      <c r="L106">
        <v>3.9</v>
      </c>
      <c r="M106">
        <v>4.5</v>
      </c>
      <c r="N106">
        <v>26.2</v>
      </c>
      <c r="O106">
        <v>21.3</v>
      </c>
      <c r="P106">
        <v>5.9</v>
      </c>
      <c r="Q106">
        <v>19.8</v>
      </c>
      <c r="R106">
        <v>2.7</v>
      </c>
      <c r="S106" t="s">
        <v>8</v>
      </c>
      <c r="T106">
        <v>0</v>
      </c>
      <c r="U106">
        <v>1.6</v>
      </c>
      <c r="V106">
        <v>0</v>
      </c>
      <c r="W106">
        <v>0</v>
      </c>
      <c r="X106" t="s">
        <v>8</v>
      </c>
      <c r="Y106" t="s">
        <v>8</v>
      </c>
      <c r="Z106" t="s">
        <v>8</v>
      </c>
      <c r="AA106" t="s">
        <v>8</v>
      </c>
      <c r="AB106" t="s">
        <v>8</v>
      </c>
      <c r="AC106">
        <v>3.2</v>
      </c>
    </row>
    <row r="107" spans="1:29" x14ac:dyDescent="0.25">
      <c r="A107">
        <v>102</v>
      </c>
      <c r="B107" t="s">
        <v>220</v>
      </c>
      <c r="C107" t="s">
        <v>22</v>
      </c>
      <c r="D107" s="6">
        <f t="shared" si="6"/>
        <v>3.5</v>
      </c>
      <c r="E107">
        <v>4.5999999999999996</v>
      </c>
      <c r="F107">
        <v>63.7</v>
      </c>
      <c r="G107" s="3">
        <f t="shared" si="7"/>
        <v>2</v>
      </c>
      <c r="H107" s="3">
        <f t="shared" si="8"/>
        <v>1</v>
      </c>
      <c r="I107" s="3">
        <f t="shared" si="9"/>
        <v>0</v>
      </c>
      <c r="J107" s="3">
        <f t="shared" si="10"/>
        <v>0</v>
      </c>
      <c r="K107" s="3">
        <f t="shared" si="11"/>
        <v>14</v>
      </c>
      <c r="L107">
        <v>3.5</v>
      </c>
      <c r="M107">
        <v>1.3</v>
      </c>
      <c r="N107">
        <v>5.2</v>
      </c>
      <c r="O107">
        <v>3.5</v>
      </c>
      <c r="P107">
        <v>0.9</v>
      </c>
      <c r="Q107">
        <v>7.4</v>
      </c>
      <c r="R107">
        <v>0</v>
      </c>
      <c r="S107" t="s">
        <v>8</v>
      </c>
      <c r="T107">
        <v>0</v>
      </c>
      <c r="U107">
        <v>7.5</v>
      </c>
      <c r="V107">
        <v>16.8</v>
      </c>
      <c r="W107" t="s">
        <v>7</v>
      </c>
      <c r="X107">
        <v>0.7</v>
      </c>
      <c r="Y107">
        <v>3.6</v>
      </c>
      <c r="Z107">
        <v>1.1000000000000001</v>
      </c>
      <c r="AA107" t="s">
        <v>8</v>
      </c>
      <c r="AB107" t="s">
        <v>8</v>
      </c>
      <c r="AC107">
        <v>12.2</v>
      </c>
    </row>
    <row r="108" spans="1:29" x14ac:dyDescent="0.25">
      <c r="A108">
        <v>136</v>
      </c>
      <c r="B108" t="s">
        <v>250</v>
      </c>
      <c r="C108" t="s">
        <v>90</v>
      </c>
      <c r="D108" s="6">
        <f t="shared" si="6"/>
        <v>3.5</v>
      </c>
      <c r="E108">
        <v>4.4000000000000004</v>
      </c>
      <c r="F108">
        <v>26.2</v>
      </c>
      <c r="G108" s="3">
        <f t="shared" si="7"/>
        <v>1</v>
      </c>
      <c r="H108" s="3">
        <f t="shared" si="8"/>
        <v>1</v>
      </c>
      <c r="I108" s="3">
        <f t="shared" si="9"/>
        <v>0</v>
      </c>
      <c r="J108" s="3">
        <f t="shared" si="10"/>
        <v>0</v>
      </c>
      <c r="K108" s="3">
        <f t="shared" si="11"/>
        <v>6</v>
      </c>
      <c r="L108">
        <v>1.5</v>
      </c>
      <c r="M108" t="s">
        <v>8</v>
      </c>
      <c r="N108">
        <v>0</v>
      </c>
      <c r="O108" t="s">
        <v>8</v>
      </c>
      <c r="P108" t="s">
        <v>8</v>
      </c>
      <c r="Q108" t="s">
        <v>8</v>
      </c>
      <c r="R108" t="s">
        <v>8</v>
      </c>
      <c r="S108" t="s">
        <v>8</v>
      </c>
      <c r="T108" t="s">
        <v>8</v>
      </c>
      <c r="U108" t="s">
        <v>8</v>
      </c>
      <c r="V108" t="s">
        <v>8</v>
      </c>
      <c r="W108" t="s">
        <v>8</v>
      </c>
      <c r="X108" t="s">
        <v>8</v>
      </c>
      <c r="Y108" t="s">
        <v>8</v>
      </c>
      <c r="Z108">
        <v>5.7</v>
      </c>
      <c r="AA108">
        <v>15.5</v>
      </c>
      <c r="AB108">
        <v>5.5</v>
      </c>
      <c r="AC108">
        <v>-2</v>
      </c>
    </row>
    <row r="109" spans="1:29" x14ac:dyDescent="0.25">
      <c r="A109">
        <v>97</v>
      </c>
      <c r="B109" t="s">
        <v>214</v>
      </c>
      <c r="C109" t="s">
        <v>66</v>
      </c>
      <c r="D109" s="6">
        <f t="shared" si="6"/>
        <v>3.5</v>
      </c>
      <c r="E109">
        <v>4.2</v>
      </c>
      <c r="F109">
        <v>67.400000000000006</v>
      </c>
      <c r="G109" s="3">
        <f t="shared" si="7"/>
        <v>1</v>
      </c>
      <c r="H109" s="3">
        <f t="shared" si="8"/>
        <v>0</v>
      </c>
      <c r="I109" s="3">
        <f t="shared" si="9"/>
        <v>0</v>
      </c>
      <c r="J109" s="3">
        <f t="shared" si="10"/>
        <v>0</v>
      </c>
      <c r="K109" s="3">
        <f t="shared" si="11"/>
        <v>16</v>
      </c>
      <c r="L109">
        <v>0</v>
      </c>
      <c r="M109">
        <v>3.7</v>
      </c>
      <c r="N109">
        <v>3.6</v>
      </c>
      <c r="O109">
        <v>1.4</v>
      </c>
      <c r="P109">
        <v>13.7</v>
      </c>
      <c r="Q109">
        <v>2.1</v>
      </c>
      <c r="R109">
        <v>3.3</v>
      </c>
      <c r="S109">
        <v>1.6</v>
      </c>
      <c r="T109">
        <v>3.4</v>
      </c>
      <c r="U109">
        <v>0.7</v>
      </c>
      <c r="V109">
        <v>1.4</v>
      </c>
      <c r="W109">
        <v>5.6</v>
      </c>
      <c r="X109">
        <v>7.9</v>
      </c>
      <c r="Y109" t="s">
        <v>8</v>
      </c>
      <c r="Z109">
        <v>6</v>
      </c>
      <c r="AA109">
        <v>7.6</v>
      </c>
      <c r="AB109" t="s">
        <v>8</v>
      </c>
      <c r="AC109">
        <v>5.4</v>
      </c>
    </row>
    <row r="110" spans="1:29" x14ac:dyDescent="0.25">
      <c r="A110">
        <v>111</v>
      </c>
      <c r="B110" t="s">
        <v>225</v>
      </c>
      <c r="C110" t="s">
        <v>90</v>
      </c>
      <c r="D110" s="6">
        <f t="shared" si="6"/>
        <v>3.3499999999999996</v>
      </c>
      <c r="E110">
        <v>5.4</v>
      </c>
      <c r="F110">
        <v>53.9</v>
      </c>
      <c r="G110" s="3">
        <f t="shared" si="7"/>
        <v>1</v>
      </c>
      <c r="H110" s="3">
        <f t="shared" si="8"/>
        <v>1</v>
      </c>
      <c r="I110" s="3">
        <f t="shared" si="9"/>
        <v>1</v>
      </c>
      <c r="J110" s="3">
        <f t="shared" si="10"/>
        <v>0</v>
      </c>
      <c r="K110" s="3">
        <f t="shared" si="11"/>
        <v>10</v>
      </c>
      <c r="L110">
        <v>9.1999999999999993</v>
      </c>
      <c r="M110">
        <v>7.3</v>
      </c>
      <c r="N110">
        <v>3.8</v>
      </c>
      <c r="O110">
        <v>0.8</v>
      </c>
      <c r="P110">
        <v>4.8</v>
      </c>
      <c r="Q110">
        <v>21.5</v>
      </c>
      <c r="R110">
        <v>2.2999999999999998</v>
      </c>
      <c r="S110">
        <v>0</v>
      </c>
      <c r="T110" t="s">
        <v>8</v>
      </c>
      <c r="U110">
        <v>2.9</v>
      </c>
      <c r="V110">
        <v>1.3</v>
      </c>
      <c r="W110" t="s">
        <v>8</v>
      </c>
      <c r="X110" t="s">
        <v>8</v>
      </c>
      <c r="Y110" t="s">
        <v>8</v>
      </c>
      <c r="Z110" t="s">
        <v>8</v>
      </c>
      <c r="AA110" t="s">
        <v>8</v>
      </c>
      <c r="AB110" t="s">
        <v>8</v>
      </c>
      <c r="AC110" t="s">
        <v>8</v>
      </c>
    </row>
    <row r="111" spans="1:29" x14ac:dyDescent="0.25">
      <c r="A111">
        <v>121</v>
      </c>
      <c r="B111" t="s">
        <v>241</v>
      </c>
      <c r="C111" t="s">
        <v>78</v>
      </c>
      <c r="D111" s="6">
        <f t="shared" si="6"/>
        <v>3.2</v>
      </c>
      <c r="E111">
        <v>2.6</v>
      </c>
      <c r="F111">
        <v>38.299999999999997</v>
      </c>
      <c r="G111" s="3">
        <f t="shared" si="7"/>
        <v>0</v>
      </c>
      <c r="H111" s="3">
        <f t="shared" si="8"/>
        <v>0</v>
      </c>
      <c r="I111" s="3">
        <f t="shared" si="9"/>
        <v>0</v>
      </c>
      <c r="J111" s="3">
        <f t="shared" si="10"/>
        <v>0</v>
      </c>
      <c r="K111" s="3">
        <f t="shared" si="11"/>
        <v>15</v>
      </c>
      <c r="L111">
        <v>0</v>
      </c>
      <c r="M111">
        <v>0</v>
      </c>
      <c r="N111">
        <v>3.8</v>
      </c>
      <c r="O111">
        <v>2</v>
      </c>
      <c r="P111">
        <v>0</v>
      </c>
      <c r="Q111" t="s">
        <v>8</v>
      </c>
      <c r="R111" t="s">
        <v>8</v>
      </c>
      <c r="S111">
        <v>3.8</v>
      </c>
      <c r="T111">
        <v>6.4</v>
      </c>
      <c r="U111">
        <v>1.1000000000000001</v>
      </c>
      <c r="V111">
        <v>3.3</v>
      </c>
      <c r="W111">
        <v>1.8</v>
      </c>
      <c r="X111">
        <v>0</v>
      </c>
      <c r="Y111" t="s">
        <v>8</v>
      </c>
      <c r="Z111">
        <v>3.2</v>
      </c>
      <c r="AA111">
        <v>4.9000000000000004</v>
      </c>
      <c r="AB111">
        <v>4.0999999999999996</v>
      </c>
      <c r="AC111">
        <v>3.9</v>
      </c>
    </row>
    <row r="112" spans="1:29" x14ac:dyDescent="0.25">
      <c r="A112">
        <v>101</v>
      </c>
      <c r="B112" t="s">
        <v>219</v>
      </c>
      <c r="C112" t="s">
        <v>55</v>
      </c>
      <c r="D112" s="6">
        <f t="shared" si="6"/>
        <v>3.1</v>
      </c>
      <c r="E112">
        <v>3.8</v>
      </c>
      <c r="F112">
        <v>64.3</v>
      </c>
      <c r="G112" s="3">
        <f t="shared" si="7"/>
        <v>1</v>
      </c>
      <c r="H112" s="3">
        <f t="shared" si="8"/>
        <v>1</v>
      </c>
      <c r="I112" s="3">
        <f t="shared" si="9"/>
        <v>0</v>
      </c>
      <c r="J112" s="3">
        <f t="shared" si="10"/>
        <v>0</v>
      </c>
      <c r="K112" s="3">
        <f t="shared" si="11"/>
        <v>17</v>
      </c>
      <c r="L112">
        <v>0</v>
      </c>
      <c r="M112">
        <v>9</v>
      </c>
      <c r="N112">
        <v>9.6999999999999993</v>
      </c>
      <c r="O112">
        <v>0</v>
      </c>
      <c r="P112">
        <v>6.8</v>
      </c>
      <c r="Q112">
        <v>1.8</v>
      </c>
      <c r="R112">
        <v>3.2</v>
      </c>
      <c r="S112">
        <v>4.2</v>
      </c>
      <c r="T112">
        <v>3.1</v>
      </c>
      <c r="U112">
        <v>4.3</v>
      </c>
      <c r="V112">
        <v>15.2</v>
      </c>
      <c r="W112">
        <v>2.4</v>
      </c>
      <c r="X112">
        <v>0</v>
      </c>
      <c r="Y112" t="s">
        <v>8</v>
      </c>
      <c r="Z112">
        <v>0</v>
      </c>
      <c r="AA112">
        <v>0</v>
      </c>
      <c r="AB112">
        <v>0</v>
      </c>
      <c r="AC112">
        <v>4.5999999999999996</v>
      </c>
    </row>
    <row r="113" spans="1:29" x14ac:dyDescent="0.25">
      <c r="A113">
        <v>98</v>
      </c>
      <c r="B113" t="s">
        <v>212</v>
      </c>
      <c r="C113" t="s">
        <v>50</v>
      </c>
      <c r="D113" s="6">
        <f t="shared" si="6"/>
        <v>3.05</v>
      </c>
      <c r="E113">
        <v>4.2</v>
      </c>
      <c r="F113">
        <v>67.099999999999994</v>
      </c>
      <c r="G113" s="3">
        <f t="shared" si="7"/>
        <v>2</v>
      </c>
      <c r="H113" s="3">
        <f t="shared" si="8"/>
        <v>0</v>
      </c>
      <c r="I113" s="3">
        <f t="shared" si="9"/>
        <v>0</v>
      </c>
      <c r="J113" s="3">
        <f t="shared" si="10"/>
        <v>0</v>
      </c>
      <c r="K113" s="3">
        <f t="shared" si="11"/>
        <v>16</v>
      </c>
      <c r="L113" t="s">
        <v>8</v>
      </c>
      <c r="M113">
        <v>0</v>
      </c>
      <c r="N113">
        <v>3.1</v>
      </c>
      <c r="O113">
        <v>1.8</v>
      </c>
      <c r="P113">
        <v>3</v>
      </c>
      <c r="Q113">
        <v>11.6</v>
      </c>
      <c r="R113">
        <v>10</v>
      </c>
      <c r="S113">
        <v>1.9</v>
      </c>
      <c r="T113">
        <v>2.9</v>
      </c>
      <c r="U113">
        <v>1.9</v>
      </c>
      <c r="V113">
        <v>9.5</v>
      </c>
      <c r="W113">
        <v>5.0999999999999996</v>
      </c>
      <c r="X113">
        <v>4.8</v>
      </c>
      <c r="Y113" t="s">
        <v>7</v>
      </c>
      <c r="Z113">
        <v>2.9</v>
      </c>
      <c r="AA113">
        <v>4.5</v>
      </c>
      <c r="AB113">
        <v>0.9</v>
      </c>
      <c r="AC113">
        <v>3.2</v>
      </c>
    </row>
    <row r="114" spans="1:29" x14ac:dyDescent="0.25">
      <c r="A114">
        <v>116</v>
      </c>
      <c r="B114" t="s">
        <v>228</v>
      </c>
      <c r="C114" t="s">
        <v>90</v>
      </c>
      <c r="D114" s="6">
        <f t="shared" si="6"/>
        <v>3</v>
      </c>
      <c r="E114">
        <v>3.5</v>
      </c>
      <c r="F114">
        <v>49.1</v>
      </c>
      <c r="G114" s="3">
        <f t="shared" si="7"/>
        <v>1</v>
      </c>
      <c r="H114" s="3">
        <f t="shared" si="8"/>
        <v>0</v>
      </c>
      <c r="I114" s="3">
        <f t="shared" si="9"/>
        <v>0</v>
      </c>
      <c r="J114" s="3">
        <f t="shared" si="10"/>
        <v>0</v>
      </c>
      <c r="K114" s="3">
        <f t="shared" si="11"/>
        <v>14</v>
      </c>
      <c r="L114">
        <v>1.6</v>
      </c>
      <c r="M114">
        <v>2.2999999999999998</v>
      </c>
      <c r="N114">
        <v>6.6</v>
      </c>
      <c r="O114">
        <v>3</v>
      </c>
      <c r="P114">
        <v>1.4</v>
      </c>
      <c r="Q114">
        <v>3.5</v>
      </c>
      <c r="R114">
        <v>3</v>
      </c>
      <c r="S114">
        <v>12.6</v>
      </c>
      <c r="T114">
        <v>3.9</v>
      </c>
      <c r="U114">
        <v>7.6</v>
      </c>
      <c r="V114">
        <v>0</v>
      </c>
      <c r="W114">
        <v>0</v>
      </c>
      <c r="X114">
        <v>0</v>
      </c>
      <c r="Y114" t="s">
        <v>8</v>
      </c>
      <c r="Z114">
        <v>3.6</v>
      </c>
      <c r="AA114" t="s">
        <v>8</v>
      </c>
      <c r="AB114" t="s">
        <v>8</v>
      </c>
      <c r="AC114" t="s">
        <v>8</v>
      </c>
    </row>
    <row r="115" spans="1:29" x14ac:dyDescent="0.25">
      <c r="A115">
        <v>112</v>
      </c>
      <c r="B115" t="s">
        <v>227</v>
      </c>
      <c r="C115" t="s">
        <v>24</v>
      </c>
      <c r="D115" s="6">
        <f t="shared" si="6"/>
        <v>2.9</v>
      </c>
      <c r="E115">
        <v>3.2</v>
      </c>
      <c r="F115">
        <v>53.8</v>
      </c>
      <c r="G115" s="3">
        <f t="shared" si="7"/>
        <v>1</v>
      </c>
      <c r="H115" s="3">
        <f t="shared" si="8"/>
        <v>0</v>
      </c>
      <c r="I115" s="3">
        <f t="shared" si="9"/>
        <v>0</v>
      </c>
      <c r="J115" s="3">
        <f t="shared" si="10"/>
        <v>0</v>
      </c>
      <c r="K115" s="3">
        <f t="shared" si="11"/>
        <v>17</v>
      </c>
      <c r="L115">
        <v>1.2</v>
      </c>
      <c r="M115">
        <v>4</v>
      </c>
      <c r="N115">
        <v>0</v>
      </c>
      <c r="O115">
        <v>1</v>
      </c>
      <c r="P115">
        <v>9.1999999999999993</v>
      </c>
      <c r="Q115">
        <v>2.9</v>
      </c>
      <c r="R115">
        <v>5</v>
      </c>
      <c r="S115">
        <v>1.9</v>
      </c>
      <c r="T115">
        <v>3.2</v>
      </c>
      <c r="U115">
        <v>13.1</v>
      </c>
      <c r="V115">
        <v>4.5</v>
      </c>
      <c r="W115">
        <v>2</v>
      </c>
      <c r="X115">
        <v>0</v>
      </c>
      <c r="Y115" t="s">
        <v>7</v>
      </c>
      <c r="Z115">
        <v>-3</v>
      </c>
      <c r="AA115">
        <v>4.5999999999999996</v>
      </c>
      <c r="AB115">
        <v>4.2</v>
      </c>
      <c r="AC115">
        <v>0</v>
      </c>
    </row>
    <row r="116" spans="1:29" x14ac:dyDescent="0.25">
      <c r="A116">
        <v>115</v>
      </c>
      <c r="B116" t="s">
        <v>231</v>
      </c>
      <c r="C116" t="s">
        <v>26</v>
      </c>
      <c r="D116" s="6">
        <f t="shared" si="6"/>
        <v>2.8</v>
      </c>
      <c r="E116">
        <v>3.3</v>
      </c>
      <c r="F116">
        <v>49.9</v>
      </c>
      <c r="G116" s="3">
        <f t="shared" si="7"/>
        <v>1</v>
      </c>
      <c r="H116" s="3">
        <f t="shared" si="8"/>
        <v>1</v>
      </c>
      <c r="I116" s="3">
        <f t="shared" si="9"/>
        <v>0</v>
      </c>
      <c r="J116" s="3">
        <f t="shared" si="10"/>
        <v>0</v>
      </c>
      <c r="K116" s="3">
        <f t="shared" si="11"/>
        <v>15</v>
      </c>
      <c r="L116">
        <v>-2</v>
      </c>
      <c r="M116">
        <v>0</v>
      </c>
      <c r="N116">
        <v>1.3</v>
      </c>
      <c r="O116">
        <v>0</v>
      </c>
      <c r="P116">
        <v>0</v>
      </c>
      <c r="Q116">
        <v>4.8</v>
      </c>
      <c r="R116">
        <v>17.7</v>
      </c>
      <c r="S116" t="s">
        <v>8</v>
      </c>
      <c r="T116">
        <v>5.4</v>
      </c>
      <c r="U116" t="s">
        <v>8</v>
      </c>
      <c r="V116">
        <v>0</v>
      </c>
      <c r="W116" t="s">
        <v>7</v>
      </c>
      <c r="X116">
        <v>2.9</v>
      </c>
      <c r="Y116">
        <v>2.8</v>
      </c>
      <c r="Z116">
        <v>4.8</v>
      </c>
      <c r="AA116">
        <v>2.2999999999999998</v>
      </c>
      <c r="AB116">
        <v>4.7</v>
      </c>
      <c r="AC116">
        <v>5.2</v>
      </c>
    </row>
    <row r="117" spans="1:29" x14ac:dyDescent="0.25">
      <c r="A117">
        <v>134</v>
      </c>
      <c r="B117" t="s">
        <v>251</v>
      </c>
      <c r="C117" t="s">
        <v>26</v>
      </c>
      <c r="D117" s="6">
        <f t="shared" si="6"/>
        <v>2.75</v>
      </c>
      <c r="E117">
        <v>3.4</v>
      </c>
      <c r="F117">
        <v>27</v>
      </c>
      <c r="G117" s="3">
        <f t="shared" si="7"/>
        <v>0</v>
      </c>
      <c r="H117" s="3">
        <f t="shared" si="8"/>
        <v>0</v>
      </c>
      <c r="I117" s="3">
        <f t="shared" si="9"/>
        <v>0</v>
      </c>
      <c r="J117" s="3">
        <f t="shared" si="10"/>
        <v>0</v>
      </c>
      <c r="K117" s="3">
        <f t="shared" si="11"/>
        <v>8</v>
      </c>
      <c r="L117" t="s">
        <v>8</v>
      </c>
      <c r="M117" t="s">
        <v>8</v>
      </c>
      <c r="N117" t="s">
        <v>8</v>
      </c>
      <c r="O117" t="s">
        <v>8</v>
      </c>
      <c r="P117" t="s">
        <v>8</v>
      </c>
      <c r="Q117" t="s">
        <v>8</v>
      </c>
      <c r="R117" t="s">
        <v>8</v>
      </c>
      <c r="S117" t="s">
        <v>8</v>
      </c>
      <c r="T117" t="s">
        <v>8</v>
      </c>
      <c r="U117">
        <v>5.6</v>
      </c>
      <c r="V117">
        <v>2.8</v>
      </c>
      <c r="W117" t="s">
        <v>7</v>
      </c>
      <c r="X117">
        <v>7</v>
      </c>
      <c r="Y117">
        <v>1.5</v>
      </c>
      <c r="Z117">
        <v>1.8</v>
      </c>
      <c r="AA117">
        <v>2.7</v>
      </c>
      <c r="AB117">
        <v>3.3</v>
      </c>
      <c r="AC117">
        <v>2.2999999999999998</v>
      </c>
    </row>
    <row r="118" spans="1:29" x14ac:dyDescent="0.25">
      <c r="A118">
        <v>117</v>
      </c>
      <c r="B118" t="s">
        <v>232</v>
      </c>
      <c r="C118" t="s">
        <v>90</v>
      </c>
      <c r="D118" s="6">
        <f t="shared" si="6"/>
        <v>2.7</v>
      </c>
      <c r="E118">
        <v>3.6</v>
      </c>
      <c r="F118">
        <v>47.1</v>
      </c>
      <c r="G118" s="3">
        <f t="shared" si="7"/>
        <v>1</v>
      </c>
      <c r="H118" s="3">
        <f t="shared" si="8"/>
        <v>0</v>
      </c>
      <c r="I118" s="3">
        <f t="shared" si="9"/>
        <v>0</v>
      </c>
      <c r="J118" s="3">
        <f t="shared" si="10"/>
        <v>0</v>
      </c>
      <c r="K118" s="3">
        <f t="shared" si="11"/>
        <v>13</v>
      </c>
      <c r="L118">
        <v>1.9</v>
      </c>
      <c r="M118">
        <v>0.2</v>
      </c>
      <c r="N118">
        <v>0</v>
      </c>
      <c r="O118">
        <v>7.8</v>
      </c>
      <c r="P118">
        <v>2.7</v>
      </c>
      <c r="Q118">
        <v>5.7</v>
      </c>
      <c r="R118">
        <v>3.7</v>
      </c>
      <c r="S118">
        <v>13.2</v>
      </c>
      <c r="T118">
        <v>0</v>
      </c>
      <c r="U118" t="s">
        <v>8</v>
      </c>
      <c r="V118">
        <v>5.9</v>
      </c>
      <c r="W118">
        <v>2.5</v>
      </c>
      <c r="X118">
        <v>3.5</v>
      </c>
      <c r="Y118" t="s">
        <v>8</v>
      </c>
      <c r="Z118" t="s">
        <v>8</v>
      </c>
      <c r="AA118" t="s">
        <v>8</v>
      </c>
      <c r="AB118">
        <v>0</v>
      </c>
      <c r="AC118" t="s">
        <v>8</v>
      </c>
    </row>
    <row r="119" spans="1:29" x14ac:dyDescent="0.25">
      <c r="A119">
        <v>104</v>
      </c>
      <c r="B119" t="s">
        <v>215</v>
      </c>
      <c r="C119" t="s">
        <v>32</v>
      </c>
      <c r="D119" s="6">
        <f t="shared" si="6"/>
        <v>2.6</v>
      </c>
      <c r="E119">
        <v>3.7</v>
      </c>
      <c r="F119">
        <v>62.9</v>
      </c>
      <c r="G119" s="3">
        <f t="shared" si="7"/>
        <v>1</v>
      </c>
      <c r="H119" s="3">
        <f t="shared" si="8"/>
        <v>0</v>
      </c>
      <c r="I119" s="3">
        <f t="shared" si="9"/>
        <v>0</v>
      </c>
      <c r="J119" s="3">
        <f t="shared" si="10"/>
        <v>0</v>
      </c>
      <c r="K119" s="3">
        <f t="shared" si="11"/>
        <v>17</v>
      </c>
      <c r="L119">
        <v>3.5</v>
      </c>
      <c r="M119">
        <v>4.2</v>
      </c>
      <c r="N119">
        <v>2.2999999999999998</v>
      </c>
      <c r="O119">
        <v>4.7</v>
      </c>
      <c r="P119">
        <v>0</v>
      </c>
      <c r="Q119" t="s">
        <v>8</v>
      </c>
      <c r="R119">
        <v>1.8</v>
      </c>
      <c r="S119">
        <v>6.3</v>
      </c>
      <c r="T119">
        <v>7.3</v>
      </c>
      <c r="U119">
        <v>2.6</v>
      </c>
      <c r="V119">
        <v>4.5999999999999996</v>
      </c>
      <c r="W119">
        <v>2.5</v>
      </c>
      <c r="X119">
        <v>7.6</v>
      </c>
      <c r="Y119">
        <v>0</v>
      </c>
      <c r="Z119">
        <v>0</v>
      </c>
      <c r="AA119">
        <v>0</v>
      </c>
      <c r="AB119">
        <v>14</v>
      </c>
      <c r="AC119">
        <v>1.5</v>
      </c>
    </row>
    <row r="120" spans="1:29" x14ac:dyDescent="0.25">
      <c r="A120">
        <v>107</v>
      </c>
      <c r="B120" t="s">
        <v>223</v>
      </c>
      <c r="C120" t="s">
        <v>90</v>
      </c>
      <c r="D120" s="6">
        <f t="shared" si="6"/>
        <v>2.5</v>
      </c>
      <c r="E120">
        <v>3.2</v>
      </c>
      <c r="F120">
        <v>56.8</v>
      </c>
      <c r="G120" s="3">
        <f t="shared" si="7"/>
        <v>2</v>
      </c>
      <c r="H120" s="3">
        <f t="shared" si="8"/>
        <v>0</v>
      </c>
      <c r="I120" s="3">
        <f t="shared" si="9"/>
        <v>0</v>
      </c>
      <c r="J120" s="3">
        <f t="shared" si="10"/>
        <v>0</v>
      </c>
      <c r="K120" s="3">
        <f t="shared" si="11"/>
        <v>18</v>
      </c>
      <c r="L120">
        <v>0</v>
      </c>
      <c r="M120">
        <v>2.9</v>
      </c>
      <c r="N120">
        <v>6.4</v>
      </c>
      <c r="O120">
        <v>10.7</v>
      </c>
      <c r="P120">
        <v>4.5</v>
      </c>
      <c r="Q120">
        <v>0</v>
      </c>
      <c r="R120">
        <v>2.5</v>
      </c>
      <c r="S120">
        <v>0</v>
      </c>
      <c r="T120">
        <v>1.6</v>
      </c>
      <c r="U120">
        <v>10.199999999999999</v>
      </c>
      <c r="V120">
        <v>0</v>
      </c>
      <c r="W120">
        <v>0</v>
      </c>
      <c r="X120">
        <v>0</v>
      </c>
      <c r="Y120">
        <v>6.6</v>
      </c>
      <c r="Z120">
        <v>2.5</v>
      </c>
      <c r="AA120">
        <v>5.4</v>
      </c>
      <c r="AB120">
        <v>0</v>
      </c>
      <c r="AC120">
        <v>3.5</v>
      </c>
    </row>
    <row r="121" spans="1:29" x14ac:dyDescent="0.25">
      <c r="A121">
        <v>122</v>
      </c>
      <c r="B121" t="s">
        <v>237</v>
      </c>
      <c r="C121" t="s">
        <v>34</v>
      </c>
      <c r="D121" s="6">
        <f t="shared" si="6"/>
        <v>2.4</v>
      </c>
      <c r="E121">
        <v>3.3</v>
      </c>
      <c r="F121">
        <v>36.799999999999997</v>
      </c>
      <c r="G121" s="3">
        <f t="shared" si="7"/>
        <v>0</v>
      </c>
      <c r="H121" s="3">
        <f t="shared" si="8"/>
        <v>0</v>
      </c>
      <c r="I121" s="3">
        <f t="shared" si="9"/>
        <v>0</v>
      </c>
      <c r="J121" s="3">
        <f t="shared" si="10"/>
        <v>0</v>
      </c>
      <c r="K121" s="3">
        <f t="shared" si="11"/>
        <v>11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  <c r="Q121">
        <v>4.9000000000000004</v>
      </c>
      <c r="R121" t="s">
        <v>8</v>
      </c>
      <c r="S121">
        <v>4.9000000000000004</v>
      </c>
      <c r="T121">
        <v>7.1</v>
      </c>
      <c r="U121">
        <v>2.1</v>
      </c>
      <c r="V121" t="s">
        <v>7</v>
      </c>
      <c r="W121">
        <v>2.4</v>
      </c>
      <c r="X121">
        <v>0</v>
      </c>
      <c r="Y121">
        <v>0</v>
      </c>
      <c r="Z121">
        <v>1.1000000000000001</v>
      </c>
      <c r="AA121">
        <v>9.6999999999999993</v>
      </c>
      <c r="AB121">
        <v>4.5999999999999996</v>
      </c>
      <c r="AC121">
        <v>0</v>
      </c>
    </row>
    <row r="122" spans="1:29" x14ac:dyDescent="0.25">
      <c r="A122">
        <v>110</v>
      </c>
      <c r="B122" t="s">
        <v>229</v>
      </c>
      <c r="C122" t="s">
        <v>18</v>
      </c>
      <c r="D122" s="6">
        <f t="shared" si="6"/>
        <v>2.35</v>
      </c>
      <c r="E122">
        <v>3.9</v>
      </c>
      <c r="F122">
        <v>54.8</v>
      </c>
      <c r="G122" s="3">
        <f t="shared" si="7"/>
        <v>2</v>
      </c>
      <c r="H122" s="3">
        <f t="shared" si="8"/>
        <v>0</v>
      </c>
      <c r="I122" s="3">
        <f t="shared" si="9"/>
        <v>0</v>
      </c>
      <c r="J122" s="3">
        <f t="shared" si="10"/>
        <v>0</v>
      </c>
      <c r="K122" s="3">
        <f t="shared" si="11"/>
        <v>14</v>
      </c>
      <c r="L122" t="s">
        <v>8</v>
      </c>
      <c r="M122" t="s">
        <v>8</v>
      </c>
      <c r="N122" t="s">
        <v>8</v>
      </c>
      <c r="O122">
        <v>1.8</v>
      </c>
      <c r="P122">
        <v>0</v>
      </c>
      <c r="Q122" t="s">
        <v>7</v>
      </c>
      <c r="R122">
        <v>2.9</v>
      </c>
      <c r="S122">
        <v>0</v>
      </c>
      <c r="T122">
        <v>0.9</v>
      </c>
      <c r="U122">
        <v>10.5</v>
      </c>
      <c r="V122">
        <v>4.8</v>
      </c>
      <c r="W122">
        <v>1.3</v>
      </c>
      <c r="X122">
        <v>0.8</v>
      </c>
      <c r="Y122">
        <v>0</v>
      </c>
      <c r="Z122">
        <v>10.199999999999999</v>
      </c>
      <c r="AA122">
        <v>5.8</v>
      </c>
      <c r="AB122">
        <v>7</v>
      </c>
      <c r="AC122">
        <v>8.8000000000000007</v>
      </c>
    </row>
    <row r="123" spans="1:29" x14ac:dyDescent="0.25">
      <c r="A123">
        <v>89</v>
      </c>
      <c r="B123" t="s">
        <v>200</v>
      </c>
      <c r="C123" t="s">
        <v>53</v>
      </c>
      <c r="D123" s="6">
        <f t="shared" si="6"/>
        <v>2.2999999999999998</v>
      </c>
      <c r="E123">
        <v>6</v>
      </c>
      <c r="F123">
        <v>84.5</v>
      </c>
      <c r="G123" s="3">
        <f t="shared" si="7"/>
        <v>3</v>
      </c>
      <c r="H123" s="3">
        <f t="shared" si="8"/>
        <v>2</v>
      </c>
      <c r="I123" s="3">
        <f t="shared" si="9"/>
        <v>1</v>
      </c>
      <c r="J123" s="3">
        <f t="shared" si="10"/>
        <v>0</v>
      </c>
      <c r="K123" s="3">
        <f t="shared" si="11"/>
        <v>14</v>
      </c>
      <c r="L123">
        <v>2.9</v>
      </c>
      <c r="M123">
        <v>0</v>
      </c>
      <c r="N123">
        <v>1.7</v>
      </c>
      <c r="O123">
        <v>0</v>
      </c>
      <c r="P123">
        <v>0</v>
      </c>
      <c r="Q123">
        <v>0</v>
      </c>
      <c r="R123" t="s">
        <v>8</v>
      </c>
      <c r="S123" t="s">
        <v>8</v>
      </c>
      <c r="T123">
        <v>1.5</v>
      </c>
      <c r="U123">
        <v>25.9</v>
      </c>
      <c r="V123">
        <v>16.7</v>
      </c>
      <c r="W123" t="s">
        <v>8</v>
      </c>
      <c r="X123">
        <v>11.6</v>
      </c>
      <c r="Y123">
        <v>9.1</v>
      </c>
      <c r="Z123">
        <v>8.8000000000000007</v>
      </c>
      <c r="AA123" t="s">
        <v>8</v>
      </c>
      <c r="AB123">
        <v>0</v>
      </c>
      <c r="AC123">
        <v>6.3</v>
      </c>
    </row>
    <row r="124" spans="1:29" x14ac:dyDescent="0.25">
      <c r="A124">
        <v>163</v>
      </c>
      <c r="B124" t="s">
        <v>278</v>
      </c>
      <c r="C124" t="s">
        <v>69</v>
      </c>
      <c r="D124" s="6">
        <f t="shared" si="6"/>
        <v>2.2000000000000002</v>
      </c>
      <c r="E124">
        <v>2.7</v>
      </c>
      <c r="F124">
        <v>13.5</v>
      </c>
      <c r="G124" s="3">
        <f t="shared" si="7"/>
        <v>0</v>
      </c>
      <c r="H124" s="3">
        <f t="shared" si="8"/>
        <v>0</v>
      </c>
      <c r="I124" s="3">
        <f t="shared" si="9"/>
        <v>0</v>
      </c>
      <c r="J124" s="3">
        <f t="shared" si="10"/>
        <v>0</v>
      </c>
      <c r="K124" s="3">
        <f t="shared" si="11"/>
        <v>5</v>
      </c>
      <c r="L124" t="s">
        <v>8</v>
      </c>
      <c r="M124" t="s">
        <v>8</v>
      </c>
      <c r="N124" t="s">
        <v>8</v>
      </c>
      <c r="O124" t="s">
        <v>8</v>
      </c>
      <c r="P124" t="s">
        <v>8</v>
      </c>
      <c r="Q124" t="s">
        <v>8</v>
      </c>
      <c r="R124" t="s">
        <v>8</v>
      </c>
      <c r="S124" t="s">
        <v>8</v>
      </c>
      <c r="T124" t="s">
        <v>8</v>
      </c>
      <c r="U124" t="s">
        <v>7</v>
      </c>
      <c r="V124" t="s">
        <v>8</v>
      </c>
      <c r="W124" t="s">
        <v>8</v>
      </c>
      <c r="X124">
        <v>7.3</v>
      </c>
      <c r="Y124">
        <v>2.2000000000000002</v>
      </c>
      <c r="Z124">
        <v>2.7</v>
      </c>
      <c r="AA124">
        <v>0</v>
      </c>
      <c r="AB124">
        <v>1.3</v>
      </c>
      <c r="AC124" t="s">
        <v>8</v>
      </c>
    </row>
    <row r="125" spans="1:29" x14ac:dyDescent="0.25">
      <c r="A125">
        <v>106</v>
      </c>
      <c r="B125" t="s">
        <v>221</v>
      </c>
      <c r="C125" t="s">
        <v>40</v>
      </c>
      <c r="D125" s="6">
        <f t="shared" si="6"/>
        <v>2.1</v>
      </c>
      <c r="E125">
        <v>4.0999999999999996</v>
      </c>
      <c r="F125">
        <v>61.1</v>
      </c>
      <c r="G125" s="3">
        <f t="shared" si="7"/>
        <v>2</v>
      </c>
      <c r="H125" s="3">
        <f t="shared" si="8"/>
        <v>0</v>
      </c>
      <c r="I125" s="3">
        <f t="shared" si="9"/>
        <v>0</v>
      </c>
      <c r="J125" s="3">
        <f t="shared" si="10"/>
        <v>0</v>
      </c>
      <c r="K125" s="3">
        <f t="shared" si="11"/>
        <v>15</v>
      </c>
      <c r="L125">
        <v>12.9</v>
      </c>
      <c r="M125">
        <v>4</v>
      </c>
      <c r="N125">
        <v>5</v>
      </c>
      <c r="O125">
        <v>0</v>
      </c>
      <c r="P125">
        <v>0</v>
      </c>
      <c r="Q125" t="s">
        <v>8</v>
      </c>
      <c r="R125">
        <v>9.6999999999999993</v>
      </c>
      <c r="S125">
        <v>1.6</v>
      </c>
      <c r="T125">
        <v>6.8</v>
      </c>
      <c r="U125">
        <v>5.5</v>
      </c>
      <c r="V125">
        <v>0</v>
      </c>
      <c r="W125">
        <v>2.1</v>
      </c>
      <c r="X125">
        <v>0</v>
      </c>
      <c r="Y125">
        <v>0</v>
      </c>
      <c r="Z125">
        <v>0</v>
      </c>
      <c r="AA125" t="s">
        <v>8</v>
      </c>
      <c r="AB125" t="s">
        <v>8</v>
      </c>
      <c r="AC125">
        <v>13.5</v>
      </c>
    </row>
    <row r="126" spans="1:29" x14ac:dyDescent="0.25">
      <c r="A126">
        <v>120</v>
      </c>
      <c r="B126" t="s">
        <v>235</v>
      </c>
      <c r="C126" t="s">
        <v>40</v>
      </c>
      <c r="D126" s="6">
        <f t="shared" si="6"/>
        <v>2.1</v>
      </c>
      <c r="E126">
        <v>4.3</v>
      </c>
      <c r="F126">
        <v>38.4</v>
      </c>
      <c r="G126" s="3">
        <f t="shared" si="7"/>
        <v>1</v>
      </c>
      <c r="H126" s="3">
        <f t="shared" si="8"/>
        <v>0</v>
      </c>
      <c r="I126" s="3">
        <f t="shared" si="9"/>
        <v>0</v>
      </c>
      <c r="J126" s="3">
        <f t="shared" si="10"/>
        <v>0</v>
      </c>
      <c r="K126" s="3">
        <f t="shared" si="11"/>
        <v>9</v>
      </c>
      <c r="L126">
        <v>9.5</v>
      </c>
      <c r="M126">
        <v>13.3</v>
      </c>
      <c r="N126">
        <v>5.6</v>
      </c>
      <c r="O126">
        <v>0</v>
      </c>
      <c r="P126">
        <v>7.9</v>
      </c>
      <c r="Q126" t="s">
        <v>8</v>
      </c>
      <c r="R126" t="s">
        <v>8</v>
      </c>
      <c r="S126" t="s">
        <v>8</v>
      </c>
      <c r="T126" t="s">
        <v>8</v>
      </c>
      <c r="U126" t="s">
        <v>8</v>
      </c>
      <c r="V126" t="s">
        <v>8</v>
      </c>
      <c r="W126" t="s">
        <v>7</v>
      </c>
      <c r="X126" t="s">
        <v>8</v>
      </c>
      <c r="Y126" t="s">
        <v>8</v>
      </c>
      <c r="Z126">
        <v>0</v>
      </c>
      <c r="AA126">
        <v>0</v>
      </c>
      <c r="AB126">
        <v>0</v>
      </c>
      <c r="AC126">
        <v>2.1</v>
      </c>
    </row>
    <row r="127" spans="1:29" x14ac:dyDescent="0.25">
      <c r="A127">
        <v>124</v>
      </c>
      <c r="B127" t="s">
        <v>238</v>
      </c>
      <c r="C127" t="s">
        <v>64</v>
      </c>
      <c r="D127" s="6">
        <f t="shared" si="6"/>
        <v>2.1</v>
      </c>
      <c r="E127">
        <v>2.6</v>
      </c>
      <c r="F127">
        <v>35.700000000000003</v>
      </c>
      <c r="G127" s="3">
        <f t="shared" si="7"/>
        <v>0</v>
      </c>
      <c r="H127" s="3">
        <f t="shared" si="8"/>
        <v>0</v>
      </c>
      <c r="I127" s="3">
        <f t="shared" si="9"/>
        <v>0</v>
      </c>
      <c r="J127" s="3">
        <f t="shared" si="10"/>
        <v>0</v>
      </c>
      <c r="K127" s="3">
        <f t="shared" si="11"/>
        <v>14</v>
      </c>
      <c r="L127">
        <v>2.8</v>
      </c>
      <c r="M127">
        <v>2</v>
      </c>
      <c r="N127">
        <v>3.4</v>
      </c>
      <c r="O127">
        <v>0</v>
      </c>
      <c r="P127">
        <v>2</v>
      </c>
      <c r="Q127">
        <v>2.5</v>
      </c>
      <c r="R127" t="s">
        <v>7</v>
      </c>
      <c r="S127">
        <v>0</v>
      </c>
      <c r="T127">
        <v>4.5999999999999996</v>
      </c>
      <c r="U127">
        <v>1.4</v>
      </c>
      <c r="V127" t="s">
        <v>8</v>
      </c>
      <c r="W127">
        <v>5.0999999999999996</v>
      </c>
      <c r="X127">
        <v>1</v>
      </c>
      <c r="Y127" t="s">
        <v>8</v>
      </c>
      <c r="Z127">
        <v>8.6999999999999993</v>
      </c>
      <c r="AA127" t="s">
        <v>8</v>
      </c>
      <c r="AB127">
        <v>2.2000000000000002</v>
      </c>
      <c r="AC127">
        <v>0</v>
      </c>
    </row>
    <row r="128" spans="1:29" x14ac:dyDescent="0.25">
      <c r="A128">
        <v>108</v>
      </c>
      <c r="B128" t="s">
        <v>222</v>
      </c>
      <c r="C128" t="s">
        <v>10</v>
      </c>
      <c r="D128" s="6">
        <f t="shared" si="6"/>
        <v>2</v>
      </c>
      <c r="E128">
        <v>4.7</v>
      </c>
      <c r="F128">
        <v>56.5</v>
      </c>
      <c r="G128" s="3">
        <f t="shared" si="7"/>
        <v>3</v>
      </c>
      <c r="H128" s="3">
        <f t="shared" si="8"/>
        <v>1</v>
      </c>
      <c r="I128" s="3">
        <f t="shared" si="9"/>
        <v>0</v>
      </c>
      <c r="J128" s="3">
        <f t="shared" si="10"/>
        <v>0</v>
      </c>
      <c r="K128" s="3">
        <f t="shared" si="11"/>
        <v>12</v>
      </c>
      <c r="L128">
        <v>1.2</v>
      </c>
      <c r="M128">
        <v>5.7</v>
      </c>
      <c r="N128">
        <v>0</v>
      </c>
      <c r="O128">
        <v>1.9</v>
      </c>
      <c r="P128" t="s">
        <v>7</v>
      </c>
      <c r="Q128">
        <v>11.3</v>
      </c>
      <c r="R128">
        <v>12.9</v>
      </c>
      <c r="S128">
        <v>15.4</v>
      </c>
      <c r="T128">
        <v>1</v>
      </c>
      <c r="U128">
        <v>0</v>
      </c>
      <c r="V128">
        <v>5</v>
      </c>
      <c r="W128">
        <v>0</v>
      </c>
      <c r="X128" t="s">
        <v>8</v>
      </c>
      <c r="Y128" t="s">
        <v>8</v>
      </c>
      <c r="Z128" t="s">
        <v>8</v>
      </c>
      <c r="AA128" t="s">
        <v>8</v>
      </c>
      <c r="AB128" t="s">
        <v>8</v>
      </c>
      <c r="AC128">
        <v>2.1</v>
      </c>
    </row>
    <row r="129" spans="1:29" x14ac:dyDescent="0.25">
      <c r="A129">
        <v>174</v>
      </c>
      <c r="B129" t="s">
        <v>294</v>
      </c>
      <c r="C129" t="s">
        <v>47</v>
      </c>
      <c r="D129" s="6">
        <f t="shared" si="6"/>
        <v>1.9</v>
      </c>
      <c r="E129">
        <v>1.5</v>
      </c>
      <c r="F129">
        <v>7.5</v>
      </c>
      <c r="G129" s="3">
        <f t="shared" si="7"/>
        <v>0</v>
      </c>
      <c r="H129" s="3">
        <f t="shared" si="8"/>
        <v>0</v>
      </c>
      <c r="I129" s="3">
        <f t="shared" si="9"/>
        <v>0</v>
      </c>
      <c r="J129" s="3">
        <f t="shared" si="10"/>
        <v>0</v>
      </c>
      <c r="K129" s="3">
        <f t="shared" si="11"/>
        <v>5</v>
      </c>
      <c r="L129">
        <v>1.3</v>
      </c>
      <c r="M129">
        <v>0</v>
      </c>
      <c r="N129">
        <v>1.9</v>
      </c>
      <c r="O129">
        <v>2.2999999999999998</v>
      </c>
      <c r="P129" t="s">
        <v>7</v>
      </c>
      <c r="Q129">
        <v>2</v>
      </c>
      <c r="R129" t="s">
        <v>8</v>
      </c>
      <c r="S129" t="s">
        <v>8</v>
      </c>
      <c r="T129" t="s">
        <v>8</v>
      </c>
      <c r="U129" t="s">
        <v>8</v>
      </c>
      <c r="V129" t="s">
        <v>8</v>
      </c>
      <c r="W129" t="s">
        <v>8</v>
      </c>
      <c r="X129" t="s">
        <v>8</v>
      </c>
      <c r="Y129" t="s">
        <v>8</v>
      </c>
      <c r="Z129" t="s">
        <v>8</v>
      </c>
      <c r="AA129" t="s">
        <v>8</v>
      </c>
      <c r="AB129" t="s">
        <v>8</v>
      </c>
      <c r="AC129" t="s">
        <v>8</v>
      </c>
    </row>
    <row r="130" spans="1:29" x14ac:dyDescent="0.25">
      <c r="A130">
        <v>126</v>
      </c>
      <c r="B130" t="s">
        <v>246</v>
      </c>
      <c r="C130" t="s">
        <v>60</v>
      </c>
      <c r="D130" s="6">
        <f t="shared" ref="D130:D193" si="12">MEDIAN(L130:AC130)</f>
        <v>1.8</v>
      </c>
      <c r="E130">
        <v>2</v>
      </c>
      <c r="F130">
        <v>34.799999999999997</v>
      </c>
      <c r="G130" s="3">
        <f t="shared" ref="G130:G193" si="13">COUNTIFS(L130:AC130,"&gt;=10",L130:AC130,"&lt;=99")</f>
        <v>0</v>
      </c>
      <c r="H130" s="3">
        <f t="shared" ref="H130:H193" si="14">COUNTIFS(L130:AC130,"&gt;=15",L130:AC130,"&lt;=99")</f>
        <v>0</v>
      </c>
      <c r="I130" s="3">
        <f t="shared" ref="I130:I193" si="15">COUNTIFS(L130:AC130,"&gt;=20",L130:AC130,"&lt;=99")</f>
        <v>0</v>
      </c>
      <c r="J130" s="3">
        <f t="shared" ref="J130:J193" si="16">COUNTIFS(L130:AC130,"&gt;=30",L130:AC130,"&lt;=99")</f>
        <v>0</v>
      </c>
      <c r="K130" s="3">
        <f t="shared" ref="K130:K193" si="17">COUNT(L130:AC130)</f>
        <v>17</v>
      </c>
      <c r="L130">
        <v>4.8</v>
      </c>
      <c r="M130">
        <v>0</v>
      </c>
      <c r="N130">
        <v>7.4</v>
      </c>
      <c r="O130">
        <v>2.7</v>
      </c>
      <c r="P130">
        <v>4.9000000000000004</v>
      </c>
      <c r="Q130">
        <v>1.5</v>
      </c>
      <c r="R130">
        <v>0</v>
      </c>
      <c r="S130">
        <v>1.8</v>
      </c>
      <c r="T130">
        <v>0</v>
      </c>
      <c r="U130">
        <v>3.3</v>
      </c>
      <c r="V130">
        <v>0</v>
      </c>
      <c r="W130">
        <v>1.8</v>
      </c>
      <c r="X130">
        <v>3.3</v>
      </c>
      <c r="Y130" t="s">
        <v>7</v>
      </c>
      <c r="Z130">
        <v>1</v>
      </c>
      <c r="AA130">
        <v>2.2999999999999998</v>
      </c>
      <c r="AB130">
        <v>0</v>
      </c>
      <c r="AC130">
        <v>0</v>
      </c>
    </row>
    <row r="131" spans="1:29" x14ac:dyDescent="0.25">
      <c r="A131">
        <v>141</v>
      </c>
      <c r="B131" t="s">
        <v>257</v>
      </c>
      <c r="C131" t="s">
        <v>34</v>
      </c>
      <c r="D131" s="6">
        <f t="shared" si="12"/>
        <v>1.75</v>
      </c>
      <c r="E131">
        <v>2.1</v>
      </c>
      <c r="F131">
        <v>21.4</v>
      </c>
      <c r="G131" s="3">
        <f t="shared" si="13"/>
        <v>0</v>
      </c>
      <c r="H131" s="3">
        <f t="shared" si="14"/>
        <v>0</v>
      </c>
      <c r="I131" s="3">
        <f t="shared" si="15"/>
        <v>0</v>
      </c>
      <c r="J131" s="3">
        <f t="shared" si="16"/>
        <v>0</v>
      </c>
      <c r="K131" s="3">
        <f t="shared" si="17"/>
        <v>10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  <c r="Q131" t="s">
        <v>8</v>
      </c>
      <c r="R131" t="s">
        <v>8</v>
      </c>
      <c r="S131">
        <v>8.8000000000000007</v>
      </c>
      <c r="T131">
        <v>1.9</v>
      </c>
      <c r="U131">
        <v>3</v>
      </c>
      <c r="V131" t="s">
        <v>7</v>
      </c>
      <c r="W131">
        <v>4</v>
      </c>
      <c r="X131">
        <v>0</v>
      </c>
      <c r="Y131">
        <v>0</v>
      </c>
      <c r="Z131">
        <v>0</v>
      </c>
      <c r="AA131">
        <v>1.6</v>
      </c>
      <c r="AB131">
        <v>2.1</v>
      </c>
      <c r="AC131">
        <v>0</v>
      </c>
    </row>
    <row r="132" spans="1:29" x14ac:dyDescent="0.25">
      <c r="A132">
        <v>113</v>
      </c>
      <c r="B132" t="s">
        <v>224</v>
      </c>
      <c r="C132" t="s">
        <v>62</v>
      </c>
      <c r="D132" s="6">
        <f t="shared" si="12"/>
        <v>1.7000000000000002</v>
      </c>
      <c r="E132">
        <v>3.8</v>
      </c>
      <c r="F132">
        <v>53.1</v>
      </c>
      <c r="G132" s="3">
        <f t="shared" si="13"/>
        <v>1</v>
      </c>
      <c r="H132" s="3">
        <f t="shared" si="14"/>
        <v>1</v>
      </c>
      <c r="I132" s="3">
        <f t="shared" si="15"/>
        <v>1</v>
      </c>
      <c r="J132" s="3">
        <f t="shared" si="16"/>
        <v>0</v>
      </c>
      <c r="K132" s="3">
        <f t="shared" si="17"/>
        <v>14</v>
      </c>
      <c r="L132">
        <v>0</v>
      </c>
      <c r="M132">
        <v>0</v>
      </c>
      <c r="N132">
        <v>9.6999999999999993</v>
      </c>
      <c r="O132">
        <v>0</v>
      </c>
      <c r="P132">
        <v>20</v>
      </c>
      <c r="Q132" t="s">
        <v>7</v>
      </c>
      <c r="R132">
        <v>0</v>
      </c>
      <c r="S132" t="s">
        <v>8</v>
      </c>
      <c r="T132" t="s">
        <v>8</v>
      </c>
      <c r="U132" t="s">
        <v>8</v>
      </c>
      <c r="V132">
        <v>1.8</v>
      </c>
      <c r="W132">
        <v>1.6</v>
      </c>
      <c r="X132">
        <v>2</v>
      </c>
      <c r="Y132">
        <v>5.0999999999999996</v>
      </c>
      <c r="Z132">
        <v>7.7</v>
      </c>
      <c r="AA132">
        <v>0</v>
      </c>
      <c r="AB132">
        <v>3.8</v>
      </c>
      <c r="AC132">
        <v>1.4</v>
      </c>
    </row>
    <row r="133" spans="1:29" x14ac:dyDescent="0.25">
      <c r="A133">
        <v>118</v>
      </c>
      <c r="B133" t="s">
        <v>234</v>
      </c>
      <c r="C133" t="s">
        <v>6</v>
      </c>
      <c r="D133" s="6">
        <f t="shared" si="12"/>
        <v>1.6</v>
      </c>
      <c r="E133">
        <v>2.5</v>
      </c>
      <c r="F133">
        <v>41.9</v>
      </c>
      <c r="G133" s="3">
        <f t="shared" si="13"/>
        <v>1</v>
      </c>
      <c r="H133" s="3">
        <f t="shared" si="14"/>
        <v>1</v>
      </c>
      <c r="I133" s="3">
        <f t="shared" si="15"/>
        <v>0</v>
      </c>
      <c r="J133" s="3">
        <f t="shared" si="16"/>
        <v>0</v>
      </c>
      <c r="K133" s="3">
        <f t="shared" si="17"/>
        <v>17</v>
      </c>
      <c r="L133">
        <v>0</v>
      </c>
      <c r="M133">
        <v>1.6</v>
      </c>
      <c r="N133">
        <v>2.8</v>
      </c>
      <c r="O133">
        <v>3.1</v>
      </c>
      <c r="P133" t="s">
        <v>7</v>
      </c>
      <c r="Q133">
        <v>3.3</v>
      </c>
      <c r="R133">
        <v>0</v>
      </c>
      <c r="S133">
        <v>0</v>
      </c>
      <c r="T133">
        <v>4.5999999999999996</v>
      </c>
      <c r="U133">
        <v>3.7</v>
      </c>
      <c r="V133">
        <v>1.8</v>
      </c>
      <c r="W133">
        <v>1.4</v>
      </c>
      <c r="X133">
        <v>1.7</v>
      </c>
      <c r="Y133">
        <v>1.5</v>
      </c>
      <c r="Z133">
        <v>0</v>
      </c>
      <c r="AA133">
        <v>0</v>
      </c>
      <c r="AB133">
        <v>0</v>
      </c>
      <c r="AC133">
        <v>16.399999999999999</v>
      </c>
    </row>
    <row r="134" spans="1:29" x14ac:dyDescent="0.25">
      <c r="A134">
        <v>119</v>
      </c>
      <c r="B134" t="s">
        <v>233</v>
      </c>
      <c r="C134" t="s">
        <v>45</v>
      </c>
      <c r="D134" s="6">
        <f t="shared" si="12"/>
        <v>1.6</v>
      </c>
      <c r="E134">
        <v>2.7</v>
      </c>
      <c r="F134">
        <v>40.1</v>
      </c>
      <c r="G134" s="3">
        <f t="shared" si="13"/>
        <v>2</v>
      </c>
      <c r="H134" s="3">
        <f t="shared" si="14"/>
        <v>0</v>
      </c>
      <c r="I134" s="3">
        <f t="shared" si="15"/>
        <v>0</v>
      </c>
      <c r="J134" s="3">
        <f t="shared" si="16"/>
        <v>0</v>
      </c>
      <c r="K134" s="3">
        <f t="shared" si="17"/>
        <v>15</v>
      </c>
      <c r="L134">
        <v>0.9</v>
      </c>
      <c r="M134">
        <v>0</v>
      </c>
      <c r="N134">
        <v>0.8</v>
      </c>
      <c r="O134">
        <v>0</v>
      </c>
      <c r="P134" t="s">
        <v>7</v>
      </c>
      <c r="Q134">
        <v>3.2</v>
      </c>
      <c r="R134" t="s">
        <v>8</v>
      </c>
      <c r="S134" t="s">
        <v>8</v>
      </c>
      <c r="T134">
        <v>0</v>
      </c>
      <c r="U134">
        <v>3.3</v>
      </c>
      <c r="V134">
        <v>3</v>
      </c>
      <c r="W134">
        <v>2.4</v>
      </c>
      <c r="X134">
        <v>1.6</v>
      </c>
      <c r="Y134">
        <v>2.1</v>
      </c>
      <c r="Z134">
        <v>0</v>
      </c>
      <c r="AA134">
        <v>10.8</v>
      </c>
      <c r="AB134">
        <v>10.6</v>
      </c>
      <c r="AC134">
        <v>1.4</v>
      </c>
    </row>
    <row r="135" spans="1:29" x14ac:dyDescent="0.25">
      <c r="A135">
        <v>137</v>
      </c>
      <c r="B135" t="s">
        <v>256</v>
      </c>
      <c r="C135" t="s">
        <v>26</v>
      </c>
      <c r="D135" s="6">
        <f t="shared" si="12"/>
        <v>1.6</v>
      </c>
      <c r="E135">
        <v>2.2000000000000002</v>
      </c>
      <c r="F135">
        <v>23.9</v>
      </c>
      <c r="G135" s="3">
        <f t="shared" si="13"/>
        <v>1</v>
      </c>
      <c r="H135" s="3">
        <f t="shared" si="14"/>
        <v>0</v>
      </c>
      <c r="I135" s="3">
        <f t="shared" si="15"/>
        <v>0</v>
      </c>
      <c r="J135" s="3">
        <f t="shared" si="16"/>
        <v>0</v>
      </c>
      <c r="K135" s="3">
        <f t="shared" si="17"/>
        <v>11</v>
      </c>
      <c r="L135">
        <v>1.6</v>
      </c>
      <c r="M135">
        <v>0</v>
      </c>
      <c r="N135">
        <v>3.1</v>
      </c>
      <c r="O135">
        <v>1.6</v>
      </c>
      <c r="P135">
        <v>1.2</v>
      </c>
      <c r="Q135">
        <v>2.5</v>
      </c>
      <c r="R135">
        <v>10.5</v>
      </c>
      <c r="S135">
        <v>3.4</v>
      </c>
      <c r="T135">
        <v>0</v>
      </c>
      <c r="U135">
        <v>0</v>
      </c>
      <c r="V135" t="s">
        <v>8</v>
      </c>
      <c r="W135" t="s">
        <v>7</v>
      </c>
      <c r="X135" t="s">
        <v>8</v>
      </c>
      <c r="Y135" t="s">
        <v>8</v>
      </c>
      <c r="Z135" t="s">
        <v>8</v>
      </c>
      <c r="AA135">
        <v>0</v>
      </c>
      <c r="AB135" t="s">
        <v>8</v>
      </c>
      <c r="AC135" t="s">
        <v>8</v>
      </c>
    </row>
    <row r="136" spans="1:29" x14ac:dyDescent="0.25">
      <c r="A136">
        <v>207</v>
      </c>
      <c r="B136" t="s">
        <v>323</v>
      </c>
      <c r="C136" t="s">
        <v>90</v>
      </c>
      <c r="D136" s="6">
        <f t="shared" si="12"/>
        <v>1.6</v>
      </c>
      <c r="E136">
        <v>1.6</v>
      </c>
      <c r="F136">
        <v>1.6</v>
      </c>
      <c r="G136" s="3">
        <f t="shared" si="13"/>
        <v>0</v>
      </c>
      <c r="H136" s="3">
        <f t="shared" si="14"/>
        <v>0</v>
      </c>
      <c r="I136" s="3">
        <f t="shared" si="15"/>
        <v>0</v>
      </c>
      <c r="J136" s="3">
        <f t="shared" si="16"/>
        <v>0</v>
      </c>
      <c r="K136" s="3">
        <f t="shared" si="17"/>
        <v>1</v>
      </c>
      <c r="L136" t="s">
        <v>8</v>
      </c>
      <c r="M136" t="s">
        <v>8</v>
      </c>
      <c r="N136" t="s">
        <v>8</v>
      </c>
      <c r="O136">
        <v>1.6</v>
      </c>
      <c r="P136" t="s">
        <v>8</v>
      </c>
      <c r="Q136" t="s">
        <v>8</v>
      </c>
      <c r="R136" t="s">
        <v>8</v>
      </c>
      <c r="S136" t="s">
        <v>8</v>
      </c>
      <c r="T136" t="s">
        <v>8</v>
      </c>
      <c r="U136" t="s">
        <v>8</v>
      </c>
      <c r="V136" t="s">
        <v>8</v>
      </c>
      <c r="W136" t="s">
        <v>8</v>
      </c>
      <c r="X136" t="s">
        <v>8</v>
      </c>
      <c r="Y136" t="s">
        <v>8</v>
      </c>
      <c r="Z136" t="s">
        <v>8</v>
      </c>
      <c r="AA136" t="s">
        <v>8</v>
      </c>
      <c r="AB136" t="s">
        <v>8</v>
      </c>
      <c r="AC136" t="s">
        <v>8</v>
      </c>
    </row>
    <row r="137" spans="1:29" x14ac:dyDescent="0.25">
      <c r="A137">
        <v>195</v>
      </c>
      <c r="B137" t="s">
        <v>311</v>
      </c>
      <c r="C137" t="s">
        <v>76</v>
      </c>
      <c r="D137" s="6">
        <f t="shared" si="12"/>
        <v>1.5</v>
      </c>
      <c r="E137">
        <v>1.1000000000000001</v>
      </c>
      <c r="F137">
        <v>3.2</v>
      </c>
      <c r="G137" s="3">
        <f t="shared" si="13"/>
        <v>0</v>
      </c>
      <c r="H137" s="3">
        <f t="shared" si="14"/>
        <v>0</v>
      </c>
      <c r="I137" s="3">
        <f t="shared" si="15"/>
        <v>0</v>
      </c>
      <c r="J137" s="3">
        <f t="shared" si="16"/>
        <v>0</v>
      </c>
      <c r="K137" s="3">
        <f t="shared" si="17"/>
        <v>3</v>
      </c>
      <c r="L137" t="s">
        <v>8</v>
      </c>
      <c r="M137" t="s">
        <v>8</v>
      </c>
      <c r="N137" t="s">
        <v>8</v>
      </c>
      <c r="O137" t="s">
        <v>8</v>
      </c>
      <c r="P137">
        <v>0</v>
      </c>
      <c r="Q137">
        <v>1.5</v>
      </c>
      <c r="R137" t="s">
        <v>8</v>
      </c>
      <c r="S137" t="s">
        <v>8</v>
      </c>
      <c r="T137" t="s">
        <v>7</v>
      </c>
      <c r="U137">
        <v>1.7</v>
      </c>
      <c r="V137" t="s">
        <v>8</v>
      </c>
      <c r="W137" t="s">
        <v>8</v>
      </c>
      <c r="X137" t="s">
        <v>8</v>
      </c>
      <c r="Y137" t="s">
        <v>8</v>
      </c>
      <c r="Z137" t="s">
        <v>8</v>
      </c>
      <c r="AA137" t="s">
        <v>8</v>
      </c>
      <c r="AB137" t="s">
        <v>8</v>
      </c>
      <c r="AC137" t="s">
        <v>8</v>
      </c>
    </row>
    <row r="138" spans="1:29" x14ac:dyDescent="0.25">
      <c r="A138">
        <v>90</v>
      </c>
      <c r="B138" t="s">
        <v>206</v>
      </c>
      <c r="C138" t="s">
        <v>69</v>
      </c>
      <c r="D138" s="6">
        <f t="shared" si="12"/>
        <v>1.4</v>
      </c>
      <c r="E138">
        <v>7.3</v>
      </c>
      <c r="F138">
        <v>80.400000000000006</v>
      </c>
      <c r="G138" s="3">
        <f t="shared" si="13"/>
        <v>3</v>
      </c>
      <c r="H138" s="3">
        <f t="shared" si="14"/>
        <v>3</v>
      </c>
      <c r="I138" s="3">
        <f t="shared" si="15"/>
        <v>1</v>
      </c>
      <c r="J138" s="3">
        <f t="shared" si="16"/>
        <v>0</v>
      </c>
      <c r="K138" s="3">
        <f t="shared" si="17"/>
        <v>11</v>
      </c>
      <c r="L138">
        <v>1.3</v>
      </c>
      <c r="M138">
        <v>1.2</v>
      </c>
      <c r="N138">
        <v>1.4</v>
      </c>
      <c r="O138">
        <v>0</v>
      </c>
      <c r="P138">
        <v>0</v>
      </c>
      <c r="Q138">
        <v>-0.5</v>
      </c>
      <c r="R138">
        <v>18.100000000000001</v>
      </c>
      <c r="S138">
        <v>28.9</v>
      </c>
      <c r="T138">
        <v>19.5</v>
      </c>
      <c r="U138" t="s">
        <v>7</v>
      </c>
      <c r="V138">
        <v>7.7</v>
      </c>
      <c r="W138">
        <v>2.8</v>
      </c>
      <c r="X138" t="s">
        <v>8</v>
      </c>
      <c r="Y138" t="s">
        <v>8</v>
      </c>
      <c r="Z138" t="s">
        <v>8</v>
      </c>
      <c r="AA138" t="s">
        <v>8</v>
      </c>
      <c r="AB138" t="s">
        <v>8</v>
      </c>
      <c r="AC138" t="s">
        <v>8</v>
      </c>
    </row>
    <row r="139" spans="1:29" x14ac:dyDescent="0.25">
      <c r="A139">
        <v>127</v>
      </c>
      <c r="B139" t="s">
        <v>242</v>
      </c>
      <c r="C139" t="s">
        <v>16</v>
      </c>
      <c r="D139" s="6">
        <f t="shared" si="12"/>
        <v>1.4</v>
      </c>
      <c r="E139">
        <v>2.8</v>
      </c>
      <c r="F139">
        <v>33.200000000000003</v>
      </c>
      <c r="G139" s="3">
        <f t="shared" si="13"/>
        <v>1</v>
      </c>
      <c r="H139" s="3">
        <f t="shared" si="14"/>
        <v>0</v>
      </c>
      <c r="I139" s="3">
        <f t="shared" si="15"/>
        <v>0</v>
      </c>
      <c r="J139" s="3">
        <f t="shared" si="16"/>
        <v>0</v>
      </c>
      <c r="K139" s="3">
        <f t="shared" si="17"/>
        <v>12</v>
      </c>
      <c r="L139">
        <v>0</v>
      </c>
      <c r="M139">
        <v>0</v>
      </c>
      <c r="N139">
        <v>0</v>
      </c>
      <c r="O139">
        <v>0</v>
      </c>
      <c r="P139">
        <v>7.3</v>
      </c>
      <c r="Q139" t="s">
        <v>8</v>
      </c>
      <c r="R139">
        <v>12.5</v>
      </c>
      <c r="S139">
        <v>1.8</v>
      </c>
      <c r="T139">
        <v>4.7</v>
      </c>
      <c r="U139">
        <v>1.3</v>
      </c>
      <c r="V139">
        <v>4.0999999999999996</v>
      </c>
      <c r="W139">
        <v>1.5</v>
      </c>
      <c r="X139">
        <v>0</v>
      </c>
      <c r="Y139" t="s">
        <v>8</v>
      </c>
      <c r="Z139" t="s">
        <v>8</v>
      </c>
      <c r="AA139" t="s">
        <v>8</v>
      </c>
      <c r="AB139" t="s">
        <v>8</v>
      </c>
      <c r="AC139" t="s">
        <v>8</v>
      </c>
    </row>
    <row r="140" spans="1:29" x14ac:dyDescent="0.25">
      <c r="A140">
        <v>128</v>
      </c>
      <c r="B140" t="s">
        <v>244</v>
      </c>
      <c r="C140" t="s">
        <v>57</v>
      </c>
      <c r="D140" s="6">
        <f t="shared" si="12"/>
        <v>1.4</v>
      </c>
      <c r="E140">
        <v>2.2000000000000002</v>
      </c>
      <c r="F140">
        <v>32.700000000000003</v>
      </c>
      <c r="G140" s="3">
        <f t="shared" si="13"/>
        <v>0</v>
      </c>
      <c r="H140" s="3">
        <f t="shared" si="14"/>
        <v>0</v>
      </c>
      <c r="I140" s="3">
        <f t="shared" si="15"/>
        <v>0</v>
      </c>
      <c r="J140" s="3">
        <f t="shared" si="16"/>
        <v>0</v>
      </c>
      <c r="K140" s="3">
        <f t="shared" si="17"/>
        <v>15</v>
      </c>
      <c r="L140">
        <v>1.6</v>
      </c>
      <c r="M140">
        <v>9.1999999999999993</v>
      </c>
      <c r="N140">
        <v>3.3</v>
      </c>
      <c r="O140">
        <v>6</v>
      </c>
      <c r="P140">
        <v>2.2999999999999998</v>
      </c>
      <c r="Q140">
        <v>1.4</v>
      </c>
      <c r="R140">
        <v>0</v>
      </c>
      <c r="S140" t="s">
        <v>8</v>
      </c>
      <c r="T140">
        <v>0</v>
      </c>
      <c r="U140">
        <v>7.2</v>
      </c>
      <c r="V140">
        <v>0</v>
      </c>
      <c r="W140">
        <v>1.7</v>
      </c>
      <c r="X140">
        <v>0</v>
      </c>
      <c r="Y140" t="s">
        <v>7</v>
      </c>
      <c r="Z140">
        <v>0</v>
      </c>
      <c r="AA140">
        <v>0</v>
      </c>
      <c r="AB140">
        <v>0</v>
      </c>
      <c r="AC140" t="s">
        <v>8</v>
      </c>
    </row>
    <row r="141" spans="1:29" x14ac:dyDescent="0.25">
      <c r="A141">
        <v>138</v>
      </c>
      <c r="B141" t="s">
        <v>255</v>
      </c>
      <c r="C141" t="s">
        <v>32</v>
      </c>
      <c r="D141" s="6">
        <f t="shared" si="12"/>
        <v>1.4</v>
      </c>
      <c r="E141">
        <v>1.5</v>
      </c>
      <c r="F141">
        <v>23.7</v>
      </c>
      <c r="G141" s="3">
        <f t="shared" si="13"/>
        <v>0</v>
      </c>
      <c r="H141" s="3">
        <f t="shared" si="14"/>
        <v>0</v>
      </c>
      <c r="I141" s="3">
        <f t="shared" si="15"/>
        <v>0</v>
      </c>
      <c r="J141" s="3">
        <f t="shared" si="16"/>
        <v>0</v>
      </c>
      <c r="K141" s="3">
        <f t="shared" si="17"/>
        <v>16</v>
      </c>
      <c r="L141">
        <v>1.3</v>
      </c>
      <c r="M141">
        <v>0</v>
      </c>
      <c r="N141">
        <v>0</v>
      </c>
      <c r="O141">
        <v>0</v>
      </c>
      <c r="P141">
        <v>5.0999999999999996</v>
      </c>
      <c r="Q141">
        <v>0</v>
      </c>
      <c r="R141">
        <v>2.1</v>
      </c>
      <c r="S141">
        <v>2.9</v>
      </c>
      <c r="T141">
        <v>0</v>
      </c>
      <c r="U141">
        <v>2.6</v>
      </c>
      <c r="V141">
        <v>0</v>
      </c>
      <c r="W141">
        <v>0</v>
      </c>
      <c r="X141" t="s">
        <v>8</v>
      </c>
      <c r="Y141" t="s">
        <v>7</v>
      </c>
      <c r="Z141">
        <v>2.2999999999999998</v>
      </c>
      <c r="AA141">
        <v>1.8</v>
      </c>
      <c r="AB141">
        <v>4.0999999999999996</v>
      </c>
      <c r="AC141">
        <v>1.5</v>
      </c>
    </row>
    <row r="142" spans="1:29" x14ac:dyDescent="0.25">
      <c r="A142">
        <v>133</v>
      </c>
      <c r="B142" t="s">
        <v>248</v>
      </c>
      <c r="C142" t="s">
        <v>53</v>
      </c>
      <c r="D142" s="6">
        <f t="shared" si="12"/>
        <v>1.3</v>
      </c>
      <c r="E142">
        <v>1.7</v>
      </c>
      <c r="F142">
        <v>29.7</v>
      </c>
      <c r="G142" s="3">
        <f t="shared" si="13"/>
        <v>0</v>
      </c>
      <c r="H142" s="3">
        <f t="shared" si="14"/>
        <v>0</v>
      </c>
      <c r="I142" s="3">
        <f t="shared" si="15"/>
        <v>0</v>
      </c>
      <c r="J142" s="3">
        <f t="shared" si="16"/>
        <v>0</v>
      </c>
      <c r="K142" s="3">
        <f t="shared" si="17"/>
        <v>17</v>
      </c>
      <c r="L142">
        <v>0</v>
      </c>
      <c r="M142">
        <v>3.5</v>
      </c>
      <c r="N142">
        <v>0</v>
      </c>
      <c r="O142">
        <v>6</v>
      </c>
      <c r="P142">
        <v>1.3</v>
      </c>
      <c r="Q142">
        <v>3.8</v>
      </c>
      <c r="R142">
        <v>0</v>
      </c>
      <c r="S142">
        <v>2.5</v>
      </c>
      <c r="T142">
        <v>0</v>
      </c>
      <c r="U142" t="s">
        <v>7</v>
      </c>
      <c r="V142">
        <v>0</v>
      </c>
      <c r="W142">
        <v>1.8</v>
      </c>
      <c r="X142">
        <v>0</v>
      </c>
      <c r="Y142">
        <v>0</v>
      </c>
      <c r="Z142">
        <v>1.8</v>
      </c>
      <c r="AA142">
        <v>1.6</v>
      </c>
      <c r="AB142">
        <v>0</v>
      </c>
      <c r="AC142">
        <v>7.4</v>
      </c>
    </row>
    <row r="143" spans="1:29" x14ac:dyDescent="0.25">
      <c r="A143">
        <v>199</v>
      </c>
      <c r="B143" t="s">
        <v>313</v>
      </c>
      <c r="C143" t="s">
        <v>12</v>
      </c>
      <c r="D143" s="6">
        <f t="shared" si="12"/>
        <v>1.3</v>
      </c>
      <c r="E143">
        <v>1.3</v>
      </c>
      <c r="F143">
        <v>2.6</v>
      </c>
      <c r="G143" s="3">
        <f t="shared" si="13"/>
        <v>0</v>
      </c>
      <c r="H143" s="3">
        <f t="shared" si="14"/>
        <v>0</v>
      </c>
      <c r="I143" s="3">
        <f t="shared" si="15"/>
        <v>0</v>
      </c>
      <c r="J143" s="3">
        <f t="shared" si="16"/>
        <v>0</v>
      </c>
      <c r="K143" s="3">
        <f t="shared" si="17"/>
        <v>2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  <c r="Q143" t="s">
        <v>8</v>
      </c>
      <c r="R143" t="s">
        <v>8</v>
      </c>
      <c r="S143" t="s">
        <v>8</v>
      </c>
      <c r="T143" t="s">
        <v>8</v>
      </c>
      <c r="U143" t="s">
        <v>8</v>
      </c>
      <c r="V143" t="s">
        <v>8</v>
      </c>
      <c r="W143" t="s">
        <v>8</v>
      </c>
      <c r="X143" t="s">
        <v>8</v>
      </c>
      <c r="Y143" t="s">
        <v>7</v>
      </c>
      <c r="Z143" t="s">
        <v>8</v>
      </c>
      <c r="AA143">
        <v>0</v>
      </c>
      <c r="AB143">
        <v>2.6</v>
      </c>
      <c r="AC143" t="s">
        <v>8</v>
      </c>
    </row>
    <row r="144" spans="1:29" x14ac:dyDescent="0.25">
      <c r="A144">
        <v>154</v>
      </c>
      <c r="B144" t="s">
        <v>272</v>
      </c>
      <c r="C144" t="s">
        <v>45</v>
      </c>
      <c r="D144" s="6">
        <f t="shared" si="12"/>
        <v>1.2</v>
      </c>
      <c r="E144">
        <v>1.8</v>
      </c>
      <c r="F144">
        <v>14.7</v>
      </c>
      <c r="G144" s="3">
        <f t="shared" si="13"/>
        <v>0</v>
      </c>
      <c r="H144" s="3">
        <f t="shared" si="14"/>
        <v>0</v>
      </c>
      <c r="I144" s="3">
        <f t="shared" si="15"/>
        <v>0</v>
      </c>
      <c r="J144" s="3">
        <f t="shared" si="16"/>
        <v>0</v>
      </c>
      <c r="K144" s="3">
        <f t="shared" si="17"/>
        <v>8</v>
      </c>
      <c r="L144" t="s">
        <v>8</v>
      </c>
      <c r="M144" t="s">
        <v>8</v>
      </c>
      <c r="N144" t="s">
        <v>8</v>
      </c>
      <c r="O144" t="s">
        <v>8</v>
      </c>
      <c r="P144" t="s">
        <v>7</v>
      </c>
      <c r="Q144" t="s">
        <v>8</v>
      </c>
      <c r="R144">
        <v>3</v>
      </c>
      <c r="S144">
        <v>5.5</v>
      </c>
      <c r="T144">
        <v>1</v>
      </c>
      <c r="U144">
        <v>-0.2</v>
      </c>
      <c r="V144">
        <v>0</v>
      </c>
      <c r="W144">
        <v>4</v>
      </c>
      <c r="X144">
        <v>0</v>
      </c>
      <c r="Y144">
        <v>1.4</v>
      </c>
      <c r="Z144" t="s">
        <v>8</v>
      </c>
      <c r="AA144" t="s">
        <v>8</v>
      </c>
      <c r="AB144" t="s">
        <v>8</v>
      </c>
      <c r="AC144" t="s">
        <v>8</v>
      </c>
    </row>
    <row r="145" spans="1:29" x14ac:dyDescent="0.25">
      <c r="A145">
        <v>201</v>
      </c>
      <c r="B145" t="s">
        <v>314</v>
      </c>
      <c r="C145" t="s">
        <v>14</v>
      </c>
      <c r="D145" s="6">
        <f t="shared" si="12"/>
        <v>1.2</v>
      </c>
      <c r="E145">
        <v>1.2</v>
      </c>
      <c r="F145">
        <v>2.4</v>
      </c>
      <c r="G145" s="3">
        <f t="shared" si="13"/>
        <v>0</v>
      </c>
      <c r="H145" s="3">
        <f t="shared" si="14"/>
        <v>0</v>
      </c>
      <c r="I145" s="3">
        <f t="shared" si="15"/>
        <v>0</v>
      </c>
      <c r="J145" s="3">
        <f t="shared" si="16"/>
        <v>0</v>
      </c>
      <c r="K145" s="3">
        <f t="shared" si="17"/>
        <v>2</v>
      </c>
      <c r="L145" t="s">
        <v>8</v>
      </c>
      <c r="M145" t="s">
        <v>8</v>
      </c>
      <c r="N145" t="s">
        <v>8</v>
      </c>
      <c r="O145" t="s">
        <v>8</v>
      </c>
      <c r="P145" t="s">
        <v>8</v>
      </c>
      <c r="Q145" t="s">
        <v>8</v>
      </c>
      <c r="R145">
        <v>2.4</v>
      </c>
      <c r="S145" t="s">
        <v>8</v>
      </c>
      <c r="T145" t="s">
        <v>8</v>
      </c>
      <c r="U145" t="s">
        <v>8</v>
      </c>
      <c r="V145">
        <v>0</v>
      </c>
      <c r="W145" t="s">
        <v>7</v>
      </c>
      <c r="X145" t="s">
        <v>8</v>
      </c>
      <c r="Y145" t="s">
        <v>8</v>
      </c>
      <c r="Z145" t="s">
        <v>8</v>
      </c>
      <c r="AA145" t="s">
        <v>8</v>
      </c>
      <c r="AB145" t="s">
        <v>8</v>
      </c>
      <c r="AC145" t="s">
        <v>8</v>
      </c>
    </row>
    <row r="146" spans="1:29" x14ac:dyDescent="0.25">
      <c r="A146">
        <v>129</v>
      </c>
      <c r="B146" t="s">
        <v>247</v>
      </c>
      <c r="C146" t="s">
        <v>64</v>
      </c>
      <c r="D146" s="6">
        <f t="shared" si="12"/>
        <v>1.1000000000000001</v>
      </c>
      <c r="E146">
        <v>1.9</v>
      </c>
      <c r="F146">
        <v>32.200000000000003</v>
      </c>
      <c r="G146" s="3">
        <f t="shared" si="13"/>
        <v>0</v>
      </c>
      <c r="H146" s="3">
        <f t="shared" si="14"/>
        <v>0</v>
      </c>
      <c r="I146" s="3">
        <f t="shared" si="15"/>
        <v>0</v>
      </c>
      <c r="J146" s="3">
        <f t="shared" si="16"/>
        <v>0</v>
      </c>
      <c r="K146" s="3">
        <f t="shared" si="17"/>
        <v>17</v>
      </c>
      <c r="L146">
        <v>4.3</v>
      </c>
      <c r="M146">
        <v>1.1000000000000001</v>
      </c>
      <c r="N146">
        <v>5</v>
      </c>
      <c r="O146">
        <v>5.4</v>
      </c>
      <c r="P146">
        <v>5.7</v>
      </c>
      <c r="Q146">
        <v>1.1000000000000001</v>
      </c>
      <c r="R146">
        <v>0</v>
      </c>
      <c r="S146">
        <v>0</v>
      </c>
      <c r="T146">
        <v>0</v>
      </c>
      <c r="U146" t="s">
        <v>8</v>
      </c>
      <c r="V146">
        <v>0</v>
      </c>
      <c r="W146">
        <v>1.8</v>
      </c>
      <c r="X146">
        <v>1.2</v>
      </c>
      <c r="Y146">
        <v>0</v>
      </c>
      <c r="Z146">
        <v>0</v>
      </c>
      <c r="AA146">
        <v>0</v>
      </c>
      <c r="AB146">
        <v>2.2000000000000002</v>
      </c>
      <c r="AC146">
        <v>4.4000000000000004</v>
      </c>
    </row>
    <row r="147" spans="1:29" x14ac:dyDescent="0.25">
      <c r="A147">
        <v>155</v>
      </c>
      <c r="B147" t="s">
        <v>279</v>
      </c>
      <c r="C147" t="s">
        <v>90</v>
      </c>
      <c r="D147" s="6">
        <f t="shared" si="12"/>
        <v>1.1000000000000001</v>
      </c>
      <c r="E147">
        <v>1.6</v>
      </c>
      <c r="F147">
        <v>14.5</v>
      </c>
      <c r="G147" s="3">
        <f t="shared" si="13"/>
        <v>0</v>
      </c>
      <c r="H147" s="3">
        <f t="shared" si="14"/>
        <v>0</v>
      </c>
      <c r="I147" s="3">
        <f t="shared" si="15"/>
        <v>0</v>
      </c>
      <c r="J147" s="3">
        <f t="shared" si="16"/>
        <v>0</v>
      </c>
      <c r="K147" s="3">
        <f t="shared" si="17"/>
        <v>9</v>
      </c>
      <c r="L147" t="s">
        <v>8</v>
      </c>
      <c r="M147" t="s">
        <v>8</v>
      </c>
      <c r="N147" t="s">
        <v>8</v>
      </c>
      <c r="O147" t="s">
        <v>8</v>
      </c>
      <c r="P147">
        <v>0</v>
      </c>
      <c r="Q147" t="s">
        <v>8</v>
      </c>
      <c r="R147">
        <v>0</v>
      </c>
      <c r="S147">
        <v>0</v>
      </c>
      <c r="T147">
        <v>4.5</v>
      </c>
      <c r="U147">
        <v>3.7</v>
      </c>
      <c r="V147">
        <v>3.3</v>
      </c>
      <c r="W147">
        <v>0</v>
      </c>
      <c r="X147">
        <v>1.9</v>
      </c>
      <c r="Y147">
        <v>1.1000000000000001</v>
      </c>
      <c r="Z147" t="s">
        <v>8</v>
      </c>
      <c r="AA147" t="s">
        <v>8</v>
      </c>
      <c r="AB147" t="s">
        <v>8</v>
      </c>
      <c r="AC147" t="s">
        <v>8</v>
      </c>
    </row>
    <row r="148" spans="1:29" x14ac:dyDescent="0.25">
      <c r="A148">
        <v>203</v>
      </c>
      <c r="B148" t="s">
        <v>317</v>
      </c>
      <c r="C148" t="s">
        <v>76</v>
      </c>
      <c r="D148" s="6">
        <f t="shared" si="12"/>
        <v>1.05</v>
      </c>
      <c r="E148">
        <v>1.1000000000000001</v>
      </c>
      <c r="F148">
        <v>2.1</v>
      </c>
      <c r="G148" s="3">
        <f t="shared" si="13"/>
        <v>0</v>
      </c>
      <c r="H148" s="3">
        <f t="shared" si="14"/>
        <v>0</v>
      </c>
      <c r="I148" s="3">
        <f t="shared" si="15"/>
        <v>0</v>
      </c>
      <c r="J148" s="3">
        <f t="shared" si="16"/>
        <v>0</v>
      </c>
      <c r="K148" s="3">
        <f t="shared" si="17"/>
        <v>2</v>
      </c>
      <c r="L148" t="s">
        <v>8</v>
      </c>
      <c r="M148" t="s">
        <v>8</v>
      </c>
      <c r="N148" t="s">
        <v>8</v>
      </c>
      <c r="O148" t="s">
        <v>8</v>
      </c>
      <c r="P148">
        <v>0</v>
      </c>
      <c r="Q148" t="s">
        <v>8</v>
      </c>
      <c r="R148" t="s">
        <v>8</v>
      </c>
      <c r="S148" t="s">
        <v>8</v>
      </c>
      <c r="T148" t="s">
        <v>7</v>
      </c>
      <c r="U148" t="s">
        <v>8</v>
      </c>
      <c r="V148" t="s">
        <v>8</v>
      </c>
      <c r="W148" t="s">
        <v>8</v>
      </c>
      <c r="X148" t="s">
        <v>8</v>
      </c>
      <c r="Y148" t="s">
        <v>8</v>
      </c>
      <c r="Z148" t="s">
        <v>8</v>
      </c>
      <c r="AA148" t="s">
        <v>8</v>
      </c>
      <c r="AB148" t="s">
        <v>8</v>
      </c>
      <c r="AC148">
        <v>2.1</v>
      </c>
    </row>
    <row r="149" spans="1:29" x14ac:dyDescent="0.25">
      <c r="A149">
        <v>204</v>
      </c>
      <c r="B149" t="s">
        <v>320</v>
      </c>
      <c r="C149" t="s">
        <v>30</v>
      </c>
      <c r="D149" s="6">
        <f t="shared" si="12"/>
        <v>0.95</v>
      </c>
      <c r="E149">
        <v>1</v>
      </c>
      <c r="F149">
        <v>1.9</v>
      </c>
      <c r="G149" s="3">
        <f t="shared" si="13"/>
        <v>0</v>
      </c>
      <c r="H149" s="3">
        <f t="shared" si="14"/>
        <v>0</v>
      </c>
      <c r="I149" s="3">
        <f t="shared" si="15"/>
        <v>0</v>
      </c>
      <c r="J149" s="3">
        <f t="shared" si="16"/>
        <v>0</v>
      </c>
      <c r="K149" s="3">
        <f t="shared" si="17"/>
        <v>2</v>
      </c>
      <c r="L149" t="s">
        <v>8</v>
      </c>
      <c r="M149" t="s">
        <v>8</v>
      </c>
      <c r="N149" t="s">
        <v>8</v>
      </c>
      <c r="O149" t="s">
        <v>8</v>
      </c>
      <c r="P149" t="s">
        <v>8</v>
      </c>
      <c r="Q149" t="s">
        <v>8</v>
      </c>
      <c r="R149" t="s">
        <v>8</v>
      </c>
      <c r="S149" t="s">
        <v>8</v>
      </c>
      <c r="T149">
        <v>1.9</v>
      </c>
      <c r="U149" t="s">
        <v>8</v>
      </c>
      <c r="V149" t="s">
        <v>8</v>
      </c>
      <c r="W149" t="s">
        <v>7</v>
      </c>
      <c r="X149" t="s">
        <v>8</v>
      </c>
      <c r="Y149" t="s">
        <v>8</v>
      </c>
      <c r="Z149" t="s">
        <v>8</v>
      </c>
      <c r="AA149" t="s">
        <v>8</v>
      </c>
      <c r="AB149" t="s">
        <v>8</v>
      </c>
      <c r="AC149">
        <v>0</v>
      </c>
    </row>
    <row r="150" spans="1:29" x14ac:dyDescent="0.25">
      <c r="A150">
        <v>150</v>
      </c>
      <c r="B150" t="s">
        <v>266</v>
      </c>
      <c r="C150" t="s">
        <v>47</v>
      </c>
      <c r="D150" s="6">
        <f t="shared" si="12"/>
        <v>0.9</v>
      </c>
      <c r="E150">
        <v>1.6</v>
      </c>
      <c r="F150">
        <v>15.5</v>
      </c>
      <c r="G150" s="3">
        <f t="shared" si="13"/>
        <v>0</v>
      </c>
      <c r="H150" s="3">
        <f t="shared" si="14"/>
        <v>0</v>
      </c>
      <c r="I150" s="3">
        <f t="shared" si="15"/>
        <v>0</v>
      </c>
      <c r="J150" s="3">
        <f t="shared" si="16"/>
        <v>0</v>
      </c>
      <c r="K150" s="3">
        <f t="shared" si="17"/>
        <v>10</v>
      </c>
      <c r="L150" t="s">
        <v>8</v>
      </c>
      <c r="M150" t="s">
        <v>8</v>
      </c>
      <c r="N150" t="s">
        <v>8</v>
      </c>
      <c r="O150" t="s">
        <v>8</v>
      </c>
      <c r="P150" t="s">
        <v>7</v>
      </c>
      <c r="Q150" t="s">
        <v>8</v>
      </c>
      <c r="R150" t="s">
        <v>8</v>
      </c>
      <c r="S150" t="s">
        <v>8</v>
      </c>
      <c r="T150">
        <v>0</v>
      </c>
      <c r="U150">
        <v>4.3</v>
      </c>
      <c r="V150">
        <v>4.3</v>
      </c>
      <c r="W150">
        <v>0</v>
      </c>
      <c r="X150">
        <v>0</v>
      </c>
      <c r="Y150">
        <v>2.6</v>
      </c>
      <c r="Z150">
        <v>1.8</v>
      </c>
      <c r="AA150">
        <v>0</v>
      </c>
      <c r="AB150">
        <v>0</v>
      </c>
      <c r="AC150">
        <v>2.5</v>
      </c>
    </row>
    <row r="151" spans="1:29" x14ac:dyDescent="0.25">
      <c r="A151">
        <v>161</v>
      </c>
      <c r="B151" t="s">
        <v>277</v>
      </c>
      <c r="C151" t="s">
        <v>90</v>
      </c>
      <c r="D151" s="6">
        <f t="shared" si="12"/>
        <v>0.8</v>
      </c>
      <c r="E151">
        <v>1.7</v>
      </c>
      <c r="F151">
        <v>13.6</v>
      </c>
      <c r="G151" s="3">
        <f t="shared" si="13"/>
        <v>0</v>
      </c>
      <c r="H151" s="3">
        <f t="shared" si="14"/>
        <v>0</v>
      </c>
      <c r="I151" s="3">
        <f t="shared" si="15"/>
        <v>0</v>
      </c>
      <c r="J151" s="3">
        <f t="shared" si="16"/>
        <v>0</v>
      </c>
      <c r="K151" s="3">
        <f t="shared" si="17"/>
        <v>8</v>
      </c>
      <c r="L151" t="s">
        <v>8</v>
      </c>
      <c r="M151" t="s">
        <v>8</v>
      </c>
      <c r="N151" t="s">
        <v>8</v>
      </c>
      <c r="O151" t="s">
        <v>8</v>
      </c>
      <c r="P151" t="s">
        <v>8</v>
      </c>
      <c r="Q151" t="s">
        <v>8</v>
      </c>
      <c r="R151" t="s">
        <v>8</v>
      </c>
      <c r="S151" t="s">
        <v>8</v>
      </c>
      <c r="T151" t="s">
        <v>8</v>
      </c>
      <c r="U151">
        <v>0</v>
      </c>
      <c r="V151">
        <v>0</v>
      </c>
      <c r="W151">
        <v>0</v>
      </c>
      <c r="X151">
        <v>0</v>
      </c>
      <c r="Y151" t="s">
        <v>8</v>
      </c>
      <c r="Z151">
        <v>1.6</v>
      </c>
      <c r="AA151">
        <v>1.6</v>
      </c>
      <c r="AB151">
        <v>2.6</v>
      </c>
      <c r="AC151">
        <v>7.8</v>
      </c>
    </row>
    <row r="152" spans="1:29" x14ac:dyDescent="0.25">
      <c r="A152">
        <v>175</v>
      </c>
      <c r="B152" t="s">
        <v>290</v>
      </c>
      <c r="C152" t="s">
        <v>18</v>
      </c>
      <c r="D152" s="6">
        <f t="shared" si="12"/>
        <v>0.8</v>
      </c>
      <c r="E152">
        <v>1.2</v>
      </c>
      <c r="F152">
        <v>7.4</v>
      </c>
      <c r="G152" s="3">
        <f t="shared" si="13"/>
        <v>0</v>
      </c>
      <c r="H152" s="3">
        <f t="shared" si="14"/>
        <v>0</v>
      </c>
      <c r="I152" s="3">
        <f t="shared" si="15"/>
        <v>0</v>
      </c>
      <c r="J152" s="3">
        <f t="shared" si="16"/>
        <v>0</v>
      </c>
      <c r="K152" s="3">
        <f t="shared" si="17"/>
        <v>6</v>
      </c>
      <c r="L152" t="s">
        <v>8</v>
      </c>
      <c r="M152" t="s">
        <v>8</v>
      </c>
      <c r="N152">
        <v>4</v>
      </c>
      <c r="O152">
        <v>0</v>
      </c>
      <c r="P152" t="s">
        <v>8</v>
      </c>
      <c r="Q152" t="s">
        <v>7</v>
      </c>
      <c r="R152" t="s">
        <v>8</v>
      </c>
      <c r="S152">
        <v>1.6</v>
      </c>
      <c r="T152">
        <v>0</v>
      </c>
      <c r="U152" t="s">
        <v>8</v>
      </c>
      <c r="V152" t="s">
        <v>8</v>
      </c>
      <c r="W152" t="s">
        <v>8</v>
      </c>
      <c r="X152" t="s">
        <v>8</v>
      </c>
      <c r="Y152">
        <v>0</v>
      </c>
      <c r="Z152" t="s">
        <v>8</v>
      </c>
      <c r="AA152" t="s">
        <v>8</v>
      </c>
      <c r="AB152">
        <v>1.8</v>
      </c>
      <c r="AC152" t="s">
        <v>8</v>
      </c>
    </row>
    <row r="153" spans="1:29" x14ac:dyDescent="0.25">
      <c r="A153">
        <v>179</v>
      </c>
      <c r="B153" t="s">
        <v>296</v>
      </c>
      <c r="C153" t="s">
        <v>90</v>
      </c>
      <c r="D153" s="6">
        <f t="shared" si="12"/>
        <v>0.8</v>
      </c>
      <c r="E153">
        <v>1.1000000000000001</v>
      </c>
      <c r="F153">
        <v>6.7</v>
      </c>
      <c r="G153" s="3">
        <f t="shared" si="13"/>
        <v>0</v>
      </c>
      <c r="H153" s="3">
        <f t="shared" si="14"/>
        <v>0</v>
      </c>
      <c r="I153" s="3">
        <f t="shared" si="15"/>
        <v>0</v>
      </c>
      <c r="J153" s="3">
        <f t="shared" si="16"/>
        <v>0</v>
      </c>
      <c r="K153" s="3">
        <f t="shared" si="17"/>
        <v>6</v>
      </c>
      <c r="L153" t="s">
        <v>8</v>
      </c>
      <c r="M153" t="s">
        <v>8</v>
      </c>
      <c r="N153" t="s">
        <v>8</v>
      </c>
      <c r="O153" t="s">
        <v>8</v>
      </c>
      <c r="P153" t="s">
        <v>8</v>
      </c>
      <c r="Q153" t="s">
        <v>8</v>
      </c>
      <c r="R153" t="s">
        <v>8</v>
      </c>
      <c r="S153" t="s">
        <v>8</v>
      </c>
      <c r="T153" t="s">
        <v>8</v>
      </c>
      <c r="U153" t="s">
        <v>8</v>
      </c>
      <c r="V153" t="s">
        <v>8</v>
      </c>
      <c r="W153">
        <v>0</v>
      </c>
      <c r="X153">
        <v>1.6</v>
      </c>
      <c r="Y153">
        <v>0</v>
      </c>
      <c r="Z153" t="s">
        <v>8</v>
      </c>
      <c r="AA153">
        <v>3.3</v>
      </c>
      <c r="AB153">
        <v>1.8</v>
      </c>
      <c r="AC153">
        <v>0</v>
      </c>
    </row>
    <row r="154" spans="1:29" x14ac:dyDescent="0.25">
      <c r="A154">
        <v>188</v>
      </c>
      <c r="B154" t="s">
        <v>303</v>
      </c>
      <c r="C154" t="s">
        <v>40</v>
      </c>
      <c r="D154" s="6">
        <f t="shared" si="12"/>
        <v>0.8</v>
      </c>
      <c r="E154">
        <v>0.7</v>
      </c>
      <c r="F154">
        <v>5.2</v>
      </c>
      <c r="G154" s="3">
        <f t="shared" si="13"/>
        <v>0</v>
      </c>
      <c r="H154" s="3">
        <f t="shared" si="14"/>
        <v>0</v>
      </c>
      <c r="I154" s="3">
        <f t="shared" si="15"/>
        <v>0</v>
      </c>
      <c r="J154" s="3">
        <f t="shared" si="16"/>
        <v>0</v>
      </c>
      <c r="K154" s="3">
        <f t="shared" si="17"/>
        <v>7</v>
      </c>
      <c r="L154">
        <v>0</v>
      </c>
      <c r="M154">
        <v>1.4</v>
      </c>
      <c r="N154" t="s">
        <v>8</v>
      </c>
      <c r="O154" t="s">
        <v>8</v>
      </c>
      <c r="P154" t="s">
        <v>8</v>
      </c>
      <c r="Q154" t="s">
        <v>8</v>
      </c>
      <c r="R154" t="s">
        <v>8</v>
      </c>
      <c r="S154">
        <v>0</v>
      </c>
      <c r="T154">
        <v>-0.2</v>
      </c>
      <c r="U154">
        <v>1.2</v>
      </c>
      <c r="V154">
        <v>2</v>
      </c>
      <c r="W154" t="s">
        <v>7</v>
      </c>
      <c r="X154">
        <v>0.8</v>
      </c>
      <c r="Y154" t="s">
        <v>8</v>
      </c>
      <c r="Z154" t="s">
        <v>8</v>
      </c>
      <c r="AA154" t="s">
        <v>8</v>
      </c>
      <c r="AB154" t="s">
        <v>8</v>
      </c>
      <c r="AC154" t="s">
        <v>8</v>
      </c>
    </row>
    <row r="155" spans="1:29" x14ac:dyDescent="0.25">
      <c r="A155">
        <v>196</v>
      </c>
      <c r="B155" t="s">
        <v>312</v>
      </c>
      <c r="C155" t="s">
        <v>90</v>
      </c>
      <c r="D155" s="6">
        <f t="shared" si="12"/>
        <v>0.8</v>
      </c>
      <c r="E155">
        <v>1</v>
      </c>
      <c r="F155">
        <v>3.1</v>
      </c>
      <c r="G155" s="3">
        <f t="shared" si="13"/>
        <v>0</v>
      </c>
      <c r="H155" s="3">
        <f t="shared" si="14"/>
        <v>0</v>
      </c>
      <c r="I155" s="3">
        <f t="shared" si="15"/>
        <v>0</v>
      </c>
      <c r="J155" s="3">
        <f t="shared" si="16"/>
        <v>0</v>
      </c>
      <c r="K155" s="3">
        <f t="shared" si="17"/>
        <v>3</v>
      </c>
      <c r="L155">
        <v>0</v>
      </c>
      <c r="M155">
        <v>2.2999999999999998</v>
      </c>
      <c r="N155" t="s">
        <v>8</v>
      </c>
      <c r="O155" t="s">
        <v>8</v>
      </c>
      <c r="P155" t="s">
        <v>8</v>
      </c>
      <c r="Q155" t="s">
        <v>8</v>
      </c>
      <c r="R155" t="s">
        <v>8</v>
      </c>
      <c r="S155" t="s">
        <v>8</v>
      </c>
      <c r="T155" t="s">
        <v>8</v>
      </c>
      <c r="U155" t="s">
        <v>8</v>
      </c>
      <c r="V155" t="s">
        <v>8</v>
      </c>
      <c r="W155" t="s">
        <v>8</v>
      </c>
      <c r="X155" t="s">
        <v>8</v>
      </c>
      <c r="Y155" t="s">
        <v>8</v>
      </c>
      <c r="Z155">
        <v>0.8</v>
      </c>
      <c r="AA155" t="s">
        <v>8</v>
      </c>
      <c r="AB155" t="s">
        <v>8</v>
      </c>
      <c r="AC155" t="s">
        <v>8</v>
      </c>
    </row>
    <row r="156" spans="1:29" x14ac:dyDescent="0.25">
      <c r="A156">
        <v>210</v>
      </c>
      <c r="B156" t="s">
        <v>327</v>
      </c>
      <c r="C156" t="s">
        <v>90</v>
      </c>
      <c r="D156" s="6">
        <f t="shared" si="12"/>
        <v>0.75</v>
      </c>
      <c r="E156">
        <v>0.8</v>
      </c>
      <c r="F156">
        <v>1.5</v>
      </c>
      <c r="G156" s="3">
        <f t="shared" si="13"/>
        <v>0</v>
      </c>
      <c r="H156" s="3">
        <f t="shared" si="14"/>
        <v>0</v>
      </c>
      <c r="I156" s="3">
        <f t="shared" si="15"/>
        <v>0</v>
      </c>
      <c r="J156" s="3">
        <f t="shared" si="16"/>
        <v>0</v>
      </c>
      <c r="K156" s="3">
        <f t="shared" si="17"/>
        <v>2</v>
      </c>
      <c r="L156">
        <v>0</v>
      </c>
      <c r="M156">
        <v>1.5</v>
      </c>
      <c r="N156" t="s">
        <v>8</v>
      </c>
      <c r="O156" t="s">
        <v>8</v>
      </c>
      <c r="P156" t="s">
        <v>8</v>
      </c>
      <c r="Q156" t="s">
        <v>8</v>
      </c>
      <c r="R156" t="s">
        <v>8</v>
      </c>
      <c r="S156" t="s">
        <v>8</v>
      </c>
      <c r="T156" t="s">
        <v>8</v>
      </c>
      <c r="U156" t="s">
        <v>8</v>
      </c>
      <c r="V156" t="s">
        <v>8</v>
      </c>
      <c r="W156" t="s">
        <v>8</v>
      </c>
      <c r="X156" t="s">
        <v>8</v>
      </c>
      <c r="Y156" t="s">
        <v>8</v>
      </c>
      <c r="Z156" t="s">
        <v>8</v>
      </c>
      <c r="AA156" t="s">
        <v>8</v>
      </c>
      <c r="AB156" t="s">
        <v>8</v>
      </c>
      <c r="AC156" t="s">
        <v>8</v>
      </c>
    </row>
    <row r="157" spans="1:29" x14ac:dyDescent="0.25">
      <c r="A157">
        <v>144</v>
      </c>
      <c r="B157" t="s">
        <v>258</v>
      </c>
      <c r="C157" t="s">
        <v>60</v>
      </c>
      <c r="D157" s="6">
        <f t="shared" si="12"/>
        <v>0.65</v>
      </c>
      <c r="E157">
        <v>2.2999999999999998</v>
      </c>
      <c r="F157">
        <v>18.7</v>
      </c>
      <c r="G157" s="3">
        <f t="shared" si="13"/>
        <v>1</v>
      </c>
      <c r="H157" s="3">
        <f t="shared" si="14"/>
        <v>0</v>
      </c>
      <c r="I157" s="3">
        <f t="shared" si="15"/>
        <v>0</v>
      </c>
      <c r="J157" s="3">
        <f t="shared" si="16"/>
        <v>0</v>
      </c>
      <c r="K157" s="3">
        <f t="shared" si="17"/>
        <v>8</v>
      </c>
      <c r="L157">
        <v>5.0999999999999996</v>
      </c>
      <c r="M157">
        <v>1.7</v>
      </c>
      <c r="N157">
        <v>0</v>
      </c>
      <c r="O157">
        <v>1.3</v>
      </c>
      <c r="P157" t="s">
        <v>8</v>
      </c>
      <c r="Q157" t="s">
        <v>8</v>
      </c>
      <c r="R157">
        <v>10.6</v>
      </c>
      <c r="S157">
        <v>0</v>
      </c>
      <c r="T157" t="s">
        <v>8</v>
      </c>
      <c r="U157">
        <v>0</v>
      </c>
      <c r="V157" t="s">
        <v>8</v>
      </c>
      <c r="W157" t="s">
        <v>8</v>
      </c>
      <c r="X157" t="s">
        <v>8</v>
      </c>
      <c r="Y157" t="s">
        <v>7</v>
      </c>
      <c r="Z157" t="s">
        <v>8</v>
      </c>
      <c r="AA157" t="s">
        <v>8</v>
      </c>
      <c r="AB157">
        <v>0</v>
      </c>
      <c r="AC157" t="s">
        <v>8</v>
      </c>
    </row>
    <row r="158" spans="1:29" x14ac:dyDescent="0.25">
      <c r="A158">
        <v>168</v>
      </c>
      <c r="B158" t="s">
        <v>286</v>
      </c>
      <c r="C158" t="s">
        <v>22</v>
      </c>
      <c r="D158" s="6">
        <f t="shared" si="12"/>
        <v>0.55000000000000004</v>
      </c>
      <c r="E158">
        <v>0.9</v>
      </c>
      <c r="F158">
        <v>10.7</v>
      </c>
      <c r="G158" s="3">
        <f t="shared" si="13"/>
        <v>0</v>
      </c>
      <c r="H158" s="3">
        <f t="shared" si="14"/>
        <v>0</v>
      </c>
      <c r="I158" s="3">
        <f t="shared" si="15"/>
        <v>0</v>
      </c>
      <c r="J158" s="3">
        <f t="shared" si="16"/>
        <v>0</v>
      </c>
      <c r="K158" s="3">
        <f t="shared" si="17"/>
        <v>12</v>
      </c>
      <c r="L158">
        <v>1.1000000000000001</v>
      </c>
      <c r="M158">
        <v>1.6</v>
      </c>
      <c r="N158">
        <v>1.2</v>
      </c>
      <c r="O158">
        <v>2.8</v>
      </c>
      <c r="P158">
        <v>0</v>
      </c>
      <c r="Q158">
        <v>4</v>
      </c>
      <c r="R158">
        <v>0</v>
      </c>
      <c r="S158">
        <v>2</v>
      </c>
      <c r="T158">
        <v>0</v>
      </c>
      <c r="U158" t="s">
        <v>8</v>
      </c>
      <c r="V158">
        <v>0</v>
      </c>
      <c r="W158" t="s">
        <v>7</v>
      </c>
      <c r="X158">
        <v>-2</v>
      </c>
      <c r="Y158" t="s">
        <v>8</v>
      </c>
      <c r="Z158">
        <v>0</v>
      </c>
      <c r="AA158" t="s">
        <v>8</v>
      </c>
      <c r="AB158" t="s">
        <v>8</v>
      </c>
      <c r="AC158" t="s">
        <v>8</v>
      </c>
    </row>
    <row r="159" spans="1:29" x14ac:dyDescent="0.25">
      <c r="A159">
        <v>139</v>
      </c>
      <c r="B159" t="s">
        <v>252</v>
      </c>
      <c r="C159" t="s">
        <v>16</v>
      </c>
      <c r="D159" s="6">
        <f t="shared" si="12"/>
        <v>0.5</v>
      </c>
      <c r="E159">
        <v>1.3</v>
      </c>
      <c r="F159">
        <v>22.5</v>
      </c>
      <c r="G159" s="3">
        <f t="shared" si="13"/>
        <v>0</v>
      </c>
      <c r="H159" s="3">
        <f t="shared" si="14"/>
        <v>0</v>
      </c>
      <c r="I159" s="3">
        <f t="shared" si="15"/>
        <v>0</v>
      </c>
      <c r="J159" s="3">
        <f t="shared" si="16"/>
        <v>0</v>
      </c>
      <c r="K159" s="3">
        <f t="shared" si="17"/>
        <v>17</v>
      </c>
      <c r="L159">
        <v>0</v>
      </c>
      <c r="M159">
        <v>0.8</v>
      </c>
      <c r="N159">
        <v>0</v>
      </c>
      <c r="O159">
        <v>3.8</v>
      </c>
      <c r="P159">
        <v>2.2000000000000002</v>
      </c>
      <c r="Q159">
        <v>4.3</v>
      </c>
      <c r="R159">
        <v>1.7</v>
      </c>
      <c r="S159">
        <v>0</v>
      </c>
      <c r="T159">
        <v>2.9</v>
      </c>
      <c r="U159" t="s">
        <v>7</v>
      </c>
      <c r="V159">
        <v>0</v>
      </c>
      <c r="W159">
        <v>0.5</v>
      </c>
      <c r="X159">
        <v>0</v>
      </c>
      <c r="Y159">
        <v>0</v>
      </c>
      <c r="Z159">
        <v>0</v>
      </c>
      <c r="AA159">
        <v>1.4</v>
      </c>
      <c r="AB159">
        <v>4.8</v>
      </c>
      <c r="AC159">
        <v>0.1</v>
      </c>
    </row>
    <row r="160" spans="1:29" x14ac:dyDescent="0.25">
      <c r="A160">
        <v>213</v>
      </c>
      <c r="B160" t="s">
        <v>328</v>
      </c>
      <c r="C160" t="s">
        <v>26</v>
      </c>
      <c r="D160" s="6">
        <f t="shared" si="12"/>
        <v>0.45</v>
      </c>
      <c r="E160">
        <v>0.5</v>
      </c>
      <c r="F160">
        <v>0.9</v>
      </c>
      <c r="G160" s="3">
        <f t="shared" si="13"/>
        <v>0</v>
      </c>
      <c r="H160" s="3">
        <f t="shared" si="14"/>
        <v>0</v>
      </c>
      <c r="I160" s="3">
        <f t="shared" si="15"/>
        <v>0</v>
      </c>
      <c r="J160" s="3">
        <f t="shared" si="16"/>
        <v>0</v>
      </c>
      <c r="K160" s="3">
        <f t="shared" si="17"/>
        <v>2</v>
      </c>
      <c r="L160">
        <v>0.9</v>
      </c>
      <c r="M160" t="s">
        <v>8</v>
      </c>
      <c r="N160" t="s">
        <v>8</v>
      </c>
      <c r="O160" t="s">
        <v>8</v>
      </c>
      <c r="P160" t="s">
        <v>8</v>
      </c>
      <c r="Q160" t="s">
        <v>8</v>
      </c>
      <c r="R160" t="s">
        <v>8</v>
      </c>
      <c r="S160" t="s">
        <v>8</v>
      </c>
      <c r="T160" t="s">
        <v>8</v>
      </c>
      <c r="U160" t="s">
        <v>8</v>
      </c>
      <c r="V160" t="s">
        <v>8</v>
      </c>
      <c r="W160" t="s">
        <v>7</v>
      </c>
      <c r="X160" t="s">
        <v>8</v>
      </c>
      <c r="Y160" t="s">
        <v>8</v>
      </c>
      <c r="Z160" t="s">
        <v>8</v>
      </c>
      <c r="AA160" t="s">
        <v>8</v>
      </c>
      <c r="AB160">
        <v>0</v>
      </c>
      <c r="AC160" t="s">
        <v>8</v>
      </c>
    </row>
    <row r="161" spans="1:29" x14ac:dyDescent="0.25">
      <c r="A161">
        <v>142</v>
      </c>
      <c r="B161" t="s">
        <v>260</v>
      </c>
      <c r="C161" t="s">
        <v>43</v>
      </c>
      <c r="D161" s="6">
        <f t="shared" si="12"/>
        <v>0.4</v>
      </c>
      <c r="E161">
        <v>1.5</v>
      </c>
      <c r="F161">
        <v>19.2</v>
      </c>
      <c r="G161" s="3">
        <f t="shared" si="13"/>
        <v>0</v>
      </c>
      <c r="H161" s="3">
        <f t="shared" si="14"/>
        <v>0</v>
      </c>
      <c r="I161" s="3">
        <f t="shared" si="15"/>
        <v>0</v>
      </c>
      <c r="J161" s="3">
        <f t="shared" si="16"/>
        <v>0</v>
      </c>
      <c r="K161" s="3">
        <f t="shared" si="17"/>
        <v>13</v>
      </c>
      <c r="L161">
        <v>0.3</v>
      </c>
      <c r="M161">
        <v>0.4</v>
      </c>
      <c r="N161">
        <v>0.9</v>
      </c>
      <c r="O161">
        <v>0</v>
      </c>
      <c r="P161">
        <v>0.3</v>
      </c>
      <c r="Q161" t="s">
        <v>8</v>
      </c>
      <c r="R161" t="s">
        <v>7</v>
      </c>
      <c r="S161" t="s">
        <v>8</v>
      </c>
      <c r="T161" t="s">
        <v>8</v>
      </c>
      <c r="U161">
        <v>0</v>
      </c>
      <c r="V161">
        <v>0</v>
      </c>
      <c r="W161" t="s">
        <v>8</v>
      </c>
      <c r="X161">
        <v>4.3</v>
      </c>
      <c r="Y161">
        <v>3.1</v>
      </c>
      <c r="Z161">
        <v>7.2</v>
      </c>
      <c r="AA161">
        <v>1.3</v>
      </c>
      <c r="AB161">
        <v>1.4</v>
      </c>
      <c r="AC161">
        <v>0</v>
      </c>
    </row>
    <row r="162" spans="1:29" x14ac:dyDescent="0.25">
      <c r="A162">
        <v>214</v>
      </c>
      <c r="B162" t="s">
        <v>329</v>
      </c>
      <c r="C162" t="s">
        <v>36</v>
      </c>
      <c r="D162" s="6">
        <f t="shared" si="12"/>
        <v>0.4</v>
      </c>
      <c r="E162">
        <v>0.4</v>
      </c>
      <c r="F162">
        <v>0.8</v>
      </c>
      <c r="G162" s="3">
        <f t="shared" si="13"/>
        <v>0</v>
      </c>
      <c r="H162" s="3">
        <f t="shared" si="14"/>
        <v>0</v>
      </c>
      <c r="I162" s="3">
        <f t="shared" si="15"/>
        <v>0</v>
      </c>
      <c r="J162" s="3">
        <f t="shared" si="16"/>
        <v>0</v>
      </c>
      <c r="K162" s="3">
        <f t="shared" si="17"/>
        <v>2</v>
      </c>
      <c r="L162" t="s">
        <v>8</v>
      </c>
      <c r="M162" t="s">
        <v>8</v>
      </c>
      <c r="N162" t="s">
        <v>8</v>
      </c>
      <c r="O162" t="s">
        <v>8</v>
      </c>
      <c r="P162">
        <v>0.8</v>
      </c>
      <c r="Q162" t="s">
        <v>8</v>
      </c>
      <c r="R162" t="s">
        <v>8</v>
      </c>
      <c r="S162" t="s">
        <v>8</v>
      </c>
      <c r="T162" t="s">
        <v>8</v>
      </c>
      <c r="U162" t="s">
        <v>8</v>
      </c>
      <c r="V162" t="s">
        <v>7</v>
      </c>
      <c r="W162" t="s">
        <v>8</v>
      </c>
      <c r="X162" t="s">
        <v>8</v>
      </c>
      <c r="Y162" t="s">
        <v>8</v>
      </c>
      <c r="Z162" t="s">
        <v>8</v>
      </c>
      <c r="AA162" t="s">
        <v>8</v>
      </c>
      <c r="AB162">
        <v>0</v>
      </c>
      <c r="AC162" t="s">
        <v>8</v>
      </c>
    </row>
    <row r="163" spans="1:29" x14ac:dyDescent="0.25">
      <c r="A163">
        <v>145</v>
      </c>
      <c r="B163" t="s">
        <v>264</v>
      </c>
      <c r="C163" t="s">
        <v>64</v>
      </c>
      <c r="D163" s="6">
        <f t="shared" si="12"/>
        <v>0.2</v>
      </c>
      <c r="E163">
        <v>1.7</v>
      </c>
      <c r="F163">
        <v>18.2</v>
      </c>
      <c r="G163" s="3">
        <f t="shared" si="13"/>
        <v>0</v>
      </c>
      <c r="H163" s="3">
        <f t="shared" si="14"/>
        <v>0</v>
      </c>
      <c r="I163" s="3">
        <f t="shared" si="15"/>
        <v>0</v>
      </c>
      <c r="J163" s="3">
        <f t="shared" si="16"/>
        <v>0</v>
      </c>
      <c r="K163" s="3">
        <f t="shared" si="17"/>
        <v>11</v>
      </c>
      <c r="L163" t="s">
        <v>8</v>
      </c>
      <c r="M163" t="s">
        <v>8</v>
      </c>
      <c r="N163" t="s">
        <v>8</v>
      </c>
      <c r="O163" t="s">
        <v>8</v>
      </c>
      <c r="P163">
        <v>0</v>
      </c>
      <c r="Q163">
        <v>0.2</v>
      </c>
      <c r="R163" t="s">
        <v>7</v>
      </c>
      <c r="S163">
        <v>0</v>
      </c>
      <c r="T163">
        <v>2.2999999999999998</v>
      </c>
      <c r="U163">
        <v>0</v>
      </c>
      <c r="V163">
        <v>3.9</v>
      </c>
      <c r="W163">
        <v>0</v>
      </c>
      <c r="X163" t="s">
        <v>8</v>
      </c>
      <c r="Y163">
        <v>0</v>
      </c>
      <c r="Z163" t="s">
        <v>8</v>
      </c>
      <c r="AA163">
        <v>7.1</v>
      </c>
      <c r="AB163">
        <v>1.3</v>
      </c>
      <c r="AC163">
        <v>3.4</v>
      </c>
    </row>
    <row r="164" spans="1:29" x14ac:dyDescent="0.25">
      <c r="A164">
        <v>123</v>
      </c>
      <c r="B164" t="s">
        <v>236</v>
      </c>
      <c r="C164" t="s">
        <v>12</v>
      </c>
      <c r="D164" s="6">
        <f t="shared" si="12"/>
        <v>0</v>
      </c>
      <c r="E164">
        <v>2.1</v>
      </c>
      <c r="F164">
        <v>36.299999999999997</v>
      </c>
      <c r="G164" s="3">
        <f t="shared" si="13"/>
        <v>1</v>
      </c>
      <c r="H164" s="3">
        <f t="shared" si="14"/>
        <v>1</v>
      </c>
      <c r="I164" s="3">
        <f t="shared" si="15"/>
        <v>1</v>
      </c>
      <c r="J164" s="3">
        <f t="shared" si="16"/>
        <v>0</v>
      </c>
      <c r="K164" s="3">
        <f t="shared" si="17"/>
        <v>17</v>
      </c>
      <c r="L164">
        <v>0</v>
      </c>
      <c r="M164">
        <v>0</v>
      </c>
      <c r="N164">
        <v>0</v>
      </c>
      <c r="O164">
        <v>0</v>
      </c>
      <c r="P164">
        <v>5.0999999999999996</v>
      </c>
      <c r="Q164">
        <v>0</v>
      </c>
      <c r="R164">
        <v>0</v>
      </c>
      <c r="S164">
        <v>0</v>
      </c>
      <c r="T164">
        <v>0</v>
      </c>
      <c r="U164">
        <v>20.5</v>
      </c>
      <c r="V164">
        <v>1.8</v>
      </c>
      <c r="W164">
        <v>2.5</v>
      </c>
      <c r="X164">
        <v>3.4</v>
      </c>
      <c r="Y164" t="s">
        <v>7</v>
      </c>
      <c r="Z164">
        <v>1.8</v>
      </c>
      <c r="AA164">
        <v>0</v>
      </c>
      <c r="AB164">
        <v>1.2</v>
      </c>
      <c r="AC164">
        <v>0</v>
      </c>
    </row>
    <row r="165" spans="1:29" x14ac:dyDescent="0.25">
      <c r="A165">
        <v>114</v>
      </c>
      <c r="B165" t="s">
        <v>230</v>
      </c>
      <c r="C165" t="s">
        <v>20</v>
      </c>
      <c r="D165" s="6">
        <f t="shared" si="12"/>
        <v>0</v>
      </c>
      <c r="E165">
        <v>3.5</v>
      </c>
      <c r="F165">
        <v>52.5</v>
      </c>
      <c r="G165" s="3">
        <f t="shared" si="13"/>
        <v>3</v>
      </c>
      <c r="H165" s="3">
        <f t="shared" si="14"/>
        <v>1</v>
      </c>
      <c r="I165" s="3">
        <f t="shared" si="15"/>
        <v>0</v>
      </c>
      <c r="J165" s="3">
        <f t="shared" si="16"/>
        <v>0</v>
      </c>
      <c r="K165" s="3">
        <f t="shared" si="17"/>
        <v>15</v>
      </c>
      <c r="L165">
        <v>0</v>
      </c>
      <c r="M165">
        <v>4.2</v>
      </c>
      <c r="N165">
        <v>5.8</v>
      </c>
      <c r="O165">
        <v>12.2</v>
      </c>
      <c r="P165">
        <v>15.9</v>
      </c>
      <c r="Q165" t="s">
        <v>7</v>
      </c>
      <c r="R165">
        <v>0</v>
      </c>
      <c r="S165" t="s">
        <v>8</v>
      </c>
      <c r="T165" t="s">
        <v>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1.6</v>
      </c>
      <c r="AC165">
        <v>12.8</v>
      </c>
    </row>
    <row r="166" spans="1:29" x14ac:dyDescent="0.25">
      <c r="A166">
        <v>135</v>
      </c>
      <c r="B166" t="s">
        <v>249</v>
      </c>
      <c r="C166" t="s">
        <v>26</v>
      </c>
      <c r="D166" s="6">
        <f t="shared" si="12"/>
        <v>0</v>
      </c>
      <c r="E166">
        <v>3.8</v>
      </c>
      <c r="F166">
        <v>26.8</v>
      </c>
      <c r="G166" s="3">
        <f t="shared" si="13"/>
        <v>1</v>
      </c>
      <c r="H166" s="3">
        <f t="shared" si="14"/>
        <v>1</v>
      </c>
      <c r="I166" s="3">
        <f t="shared" si="15"/>
        <v>0</v>
      </c>
      <c r="J166" s="3">
        <f t="shared" si="16"/>
        <v>0</v>
      </c>
      <c r="K166" s="3">
        <f t="shared" si="17"/>
        <v>7</v>
      </c>
      <c r="L166">
        <v>0</v>
      </c>
      <c r="M166">
        <v>0</v>
      </c>
      <c r="N166" t="s">
        <v>8</v>
      </c>
      <c r="O166">
        <v>0</v>
      </c>
      <c r="P166">
        <v>0</v>
      </c>
      <c r="Q166">
        <v>15.5</v>
      </c>
      <c r="R166">
        <v>6.7</v>
      </c>
      <c r="S166">
        <v>4.5999999999999996</v>
      </c>
      <c r="T166" t="s">
        <v>8</v>
      </c>
      <c r="U166" t="s">
        <v>8</v>
      </c>
      <c r="V166" t="s">
        <v>8</v>
      </c>
      <c r="W166" t="s">
        <v>7</v>
      </c>
      <c r="X166" t="s">
        <v>8</v>
      </c>
      <c r="Y166" t="s">
        <v>8</v>
      </c>
      <c r="Z166" t="s">
        <v>8</v>
      </c>
      <c r="AA166" t="s">
        <v>8</v>
      </c>
      <c r="AB166" t="s">
        <v>8</v>
      </c>
      <c r="AC166" t="s">
        <v>8</v>
      </c>
    </row>
    <row r="167" spans="1:29" x14ac:dyDescent="0.25">
      <c r="A167">
        <v>125</v>
      </c>
      <c r="B167" t="s">
        <v>239</v>
      </c>
      <c r="C167" t="s">
        <v>34</v>
      </c>
      <c r="D167" s="6">
        <f t="shared" si="12"/>
        <v>0</v>
      </c>
      <c r="E167">
        <v>2.2999999999999998</v>
      </c>
      <c r="F167">
        <v>35.200000000000003</v>
      </c>
      <c r="G167" s="3">
        <f t="shared" si="13"/>
        <v>1</v>
      </c>
      <c r="H167" s="3">
        <f t="shared" si="14"/>
        <v>0</v>
      </c>
      <c r="I167" s="3">
        <f t="shared" si="15"/>
        <v>0</v>
      </c>
      <c r="J167" s="3">
        <f t="shared" si="16"/>
        <v>0</v>
      </c>
      <c r="K167" s="3">
        <f t="shared" si="17"/>
        <v>15</v>
      </c>
      <c r="L167">
        <v>2.9</v>
      </c>
      <c r="M167">
        <v>0</v>
      </c>
      <c r="N167">
        <v>0</v>
      </c>
      <c r="O167">
        <v>11.6</v>
      </c>
      <c r="P167" t="s">
        <v>8</v>
      </c>
      <c r="Q167" t="s">
        <v>8</v>
      </c>
      <c r="R167">
        <v>2.6</v>
      </c>
      <c r="S167">
        <v>4.9000000000000004</v>
      </c>
      <c r="T167">
        <v>5.3</v>
      </c>
      <c r="U167">
        <v>0</v>
      </c>
      <c r="V167" t="s">
        <v>7</v>
      </c>
      <c r="W167">
        <v>2.8</v>
      </c>
      <c r="X167">
        <v>0</v>
      </c>
      <c r="Y167">
        <v>0</v>
      </c>
      <c r="Z167">
        <v>0</v>
      </c>
      <c r="AA167">
        <v>5.0999999999999996</v>
      </c>
      <c r="AB167">
        <v>0</v>
      </c>
      <c r="AC167">
        <v>0</v>
      </c>
    </row>
    <row r="168" spans="1:29" x14ac:dyDescent="0.25">
      <c r="A168">
        <v>130</v>
      </c>
      <c r="B168" t="s">
        <v>240</v>
      </c>
      <c r="C168" t="s">
        <v>14</v>
      </c>
      <c r="D168" s="6">
        <f t="shared" si="12"/>
        <v>0</v>
      </c>
      <c r="E168">
        <v>2</v>
      </c>
      <c r="F168">
        <v>32.1</v>
      </c>
      <c r="G168" s="3">
        <f t="shared" si="13"/>
        <v>1</v>
      </c>
      <c r="H168" s="3">
        <f t="shared" si="14"/>
        <v>0</v>
      </c>
      <c r="I168" s="3">
        <f t="shared" si="15"/>
        <v>0</v>
      </c>
      <c r="J168" s="3">
        <f t="shared" si="16"/>
        <v>0</v>
      </c>
      <c r="K168" s="3">
        <f t="shared" si="17"/>
        <v>16</v>
      </c>
      <c r="L168">
        <v>0</v>
      </c>
      <c r="M168">
        <v>0</v>
      </c>
      <c r="N168">
        <v>0</v>
      </c>
      <c r="O168">
        <v>6</v>
      </c>
      <c r="P168">
        <v>14.7</v>
      </c>
      <c r="Q168">
        <v>0</v>
      </c>
      <c r="R168">
        <v>0</v>
      </c>
      <c r="S168">
        <v>0</v>
      </c>
      <c r="T168">
        <v>1.9</v>
      </c>
      <c r="U168">
        <v>0</v>
      </c>
      <c r="V168">
        <v>4.2</v>
      </c>
      <c r="W168" t="s">
        <v>7</v>
      </c>
      <c r="X168">
        <v>0</v>
      </c>
      <c r="Y168">
        <v>0</v>
      </c>
      <c r="Z168">
        <v>0</v>
      </c>
      <c r="AA168" t="s">
        <v>8</v>
      </c>
      <c r="AB168">
        <v>1.9</v>
      </c>
      <c r="AC168">
        <v>3.4</v>
      </c>
    </row>
    <row r="169" spans="1:29" x14ac:dyDescent="0.25">
      <c r="A169">
        <v>132</v>
      </c>
      <c r="B169" t="s">
        <v>243</v>
      </c>
      <c r="C169" t="s">
        <v>16</v>
      </c>
      <c r="D169" s="6">
        <f t="shared" si="12"/>
        <v>0</v>
      </c>
      <c r="E169">
        <v>2.6</v>
      </c>
      <c r="F169">
        <v>31.7</v>
      </c>
      <c r="G169" s="3">
        <f t="shared" si="13"/>
        <v>0</v>
      </c>
      <c r="H169" s="3">
        <f t="shared" si="14"/>
        <v>0</v>
      </c>
      <c r="I169" s="3">
        <f t="shared" si="15"/>
        <v>0</v>
      </c>
      <c r="J169" s="3">
        <f t="shared" si="16"/>
        <v>0</v>
      </c>
      <c r="K169" s="3">
        <f t="shared" si="17"/>
        <v>12</v>
      </c>
      <c r="L169" t="s">
        <v>8</v>
      </c>
      <c r="M169" t="s">
        <v>8</v>
      </c>
      <c r="N169">
        <v>0</v>
      </c>
      <c r="O169">
        <v>3.2</v>
      </c>
      <c r="P169">
        <v>3.4</v>
      </c>
      <c r="Q169">
        <v>0</v>
      </c>
      <c r="R169">
        <v>0</v>
      </c>
      <c r="S169">
        <v>0</v>
      </c>
      <c r="T169" t="s">
        <v>8</v>
      </c>
      <c r="U169" t="s">
        <v>7</v>
      </c>
      <c r="V169">
        <v>0</v>
      </c>
      <c r="W169">
        <v>9.5</v>
      </c>
      <c r="X169">
        <v>0</v>
      </c>
      <c r="Y169">
        <v>0</v>
      </c>
      <c r="Z169" t="s">
        <v>8</v>
      </c>
      <c r="AA169" t="s">
        <v>8</v>
      </c>
      <c r="AB169">
        <v>7.3</v>
      </c>
      <c r="AC169">
        <v>8.3000000000000007</v>
      </c>
    </row>
    <row r="170" spans="1:29" x14ac:dyDescent="0.25">
      <c r="A170">
        <v>140</v>
      </c>
      <c r="B170" t="s">
        <v>253</v>
      </c>
      <c r="C170" t="s">
        <v>50</v>
      </c>
      <c r="D170" s="6">
        <f t="shared" si="12"/>
        <v>0</v>
      </c>
      <c r="E170">
        <v>1.3</v>
      </c>
      <c r="F170">
        <v>22.3</v>
      </c>
      <c r="G170" s="3">
        <f t="shared" si="13"/>
        <v>0</v>
      </c>
      <c r="H170" s="3">
        <f t="shared" si="14"/>
        <v>0</v>
      </c>
      <c r="I170" s="3">
        <f t="shared" si="15"/>
        <v>0</v>
      </c>
      <c r="J170" s="3">
        <f t="shared" si="16"/>
        <v>0</v>
      </c>
      <c r="K170" s="3">
        <f t="shared" si="17"/>
        <v>17</v>
      </c>
      <c r="L170">
        <v>0</v>
      </c>
      <c r="M170">
        <v>2.7</v>
      </c>
      <c r="N170">
        <v>1.8</v>
      </c>
      <c r="O170">
        <v>1.8</v>
      </c>
      <c r="P170">
        <v>0</v>
      </c>
      <c r="Q170" t="s">
        <v>8</v>
      </c>
      <c r="R170">
        <v>0</v>
      </c>
      <c r="S170">
        <v>8</v>
      </c>
      <c r="T170">
        <v>1.7</v>
      </c>
      <c r="U170">
        <v>2.1</v>
      </c>
      <c r="V170">
        <v>2.6</v>
      </c>
      <c r="W170">
        <v>0</v>
      </c>
      <c r="X170">
        <v>0</v>
      </c>
      <c r="Y170">
        <v>0</v>
      </c>
      <c r="Z170">
        <v>1.6</v>
      </c>
      <c r="AA170">
        <v>0</v>
      </c>
      <c r="AB170">
        <v>0</v>
      </c>
      <c r="AC170">
        <v>0</v>
      </c>
    </row>
    <row r="171" spans="1:29" x14ac:dyDescent="0.25">
      <c r="A171">
        <v>142</v>
      </c>
      <c r="B171" t="s">
        <v>254</v>
      </c>
      <c r="C171" t="s">
        <v>24</v>
      </c>
      <c r="D171" s="6">
        <f t="shared" si="12"/>
        <v>0</v>
      </c>
      <c r="E171">
        <v>1.3</v>
      </c>
      <c r="F171">
        <v>19.2</v>
      </c>
      <c r="G171" s="3">
        <f t="shared" si="13"/>
        <v>1</v>
      </c>
      <c r="H171" s="3">
        <f t="shared" si="14"/>
        <v>0</v>
      </c>
      <c r="I171" s="3">
        <f t="shared" si="15"/>
        <v>0</v>
      </c>
      <c r="J171" s="3">
        <f t="shared" si="16"/>
        <v>0</v>
      </c>
      <c r="K171" s="3">
        <f t="shared" si="17"/>
        <v>15</v>
      </c>
      <c r="L171">
        <v>12.4</v>
      </c>
      <c r="M171">
        <v>2.2999999999999998</v>
      </c>
      <c r="N171">
        <v>0</v>
      </c>
      <c r="O171">
        <v>0</v>
      </c>
      <c r="P171">
        <v>0.9</v>
      </c>
      <c r="Q171">
        <v>0</v>
      </c>
      <c r="R171">
        <v>1.2</v>
      </c>
      <c r="S171">
        <v>0</v>
      </c>
      <c r="T171">
        <v>1.7</v>
      </c>
      <c r="U171">
        <v>0.7</v>
      </c>
      <c r="V171">
        <v>0</v>
      </c>
      <c r="W171">
        <v>0</v>
      </c>
      <c r="X171" t="s">
        <v>8</v>
      </c>
      <c r="Y171" t="s">
        <v>7</v>
      </c>
      <c r="Z171" t="s">
        <v>8</v>
      </c>
      <c r="AA171">
        <v>0</v>
      </c>
      <c r="AB171">
        <v>0</v>
      </c>
      <c r="AC171">
        <v>0</v>
      </c>
    </row>
    <row r="172" spans="1:29" x14ac:dyDescent="0.25">
      <c r="A172">
        <v>147</v>
      </c>
      <c r="B172" t="s">
        <v>259</v>
      </c>
      <c r="C172" t="s">
        <v>6</v>
      </c>
      <c r="D172" s="6">
        <f t="shared" si="12"/>
        <v>0</v>
      </c>
      <c r="E172">
        <v>2.5</v>
      </c>
      <c r="F172">
        <v>17.7</v>
      </c>
      <c r="G172" s="3">
        <f t="shared" si="13"/>
        <v>1</v>
      </c>
      <c r="H172" s="3">
        <f t="shared" si="14"/>
        <v>0</v>
      </c>
      <c r="I172" s="3">
        <f t="shared" si="15"/>
        <v>0</v>
      </c>
      <c r="J172" s="3">
        <f t="shared" si="16"/>
        <v>0</v>
      </c>
      <c r="K172" s="3">
        <f t="shared" si="17"/>
        <v>7</v>
      </c>
      <c r="L172" t="s">
        <v>8</v>
      </c>
      <c r="M172" t="s">
        <v>8</v>
      </c>
      <c r="N172" t="s">
        <v>8</v>
      </c>
      <c r="O172" t="s">
        <v>8</v>
      </c>
      <c r="P172" t="s">
        <v>7</v>
      </c>
      <c r="Q172" t="s">
        <v>8</v>
      </c>
      <c r="R172" t="s">
        <v>8</v>
      </c>
      <c r="S172">
        <v>0</v>
      </c>
      <c r="T172">
        <v>1.2</v>
      </c>
      <c r="U172">
        <v>2.6</v>
      </c>
      <c r="V172">
        <v>0</v>
      </c>
      <c r="W172">
        <v>0</v>
      </c>
      <c r="X172" t="s">
        <v>8</v>
      </c>
      <c r="Y172" t="s">
        <v>8</v>
      </c>
      <c r="Z172" t="s">
        <v>8</v>
      </c>
      <c r="AA172" t="s">
        <v>8</v>
      </c>
      <c r="AB172">
        <v>0</v>
      </c>
      <c r="AC172">
        <v>13.9</v>
      </c>
    </row>
    <row r="173" spans="1:29" x14ac:dyDescent="0.25">
      <c r="A173">
        <v>148</v>
      </c>
      <c r="B173" t="s">
        <v>261</v>
      </c>
      <c r="C173" t="s">
        <v>28</v>
      </c>
      <c r="D173" s="6">
        <f t="shared" si="12"/>
        <v>0</v>
      </c>
      <c r="E173">
        <v>2.1</v>
      </c>
      <c r="F173">
        <v>16.600000000000001</v>
      </c>
      <c r="G173" s="3">
        <f t="shared" si="13"/>
        <v>0</v>
      </c>
      <c r="H173" s="3">
        <f t="shared" si="14"/>
        <v>0</v>
      </c>
      <c r="I173" s="3">
        <f t="shared" si="15"/>
        <v>0</v>
      </c>
      <c r="J173" s="3">
        <f t="shared" si="16"/>
        <v>0</v>
      </c>
      <c r="K173" s="3">
        <f t="shared" si="17"/>
        <v>8</v>
      </c>
      <c r="L173">
        <v>0</v>
      </c>
      <c r="M173">
        <v>0</v>
      </c>
      <c r="N173">
        <v>2.7</v>
      </c>
      <c r="O173">
        <v>0</v>
      </c>
      <c r="P173" t="s">
        <v>8</v>
      </c>
      <c r="Q173">
        <v>6.4</v>
      </c>
      <c r="R173">
        <v>7.5</v>
      </c>
      <c r="S173">
        <v>0</v>
      </c>
      <c r="T173">
        <v>0</v>
      </c>
      <c r="U173" t="s">
        <v>8</v>
      </c>
      <c r="V173" t="s">
        <v>7</v>
      </c>
      <c r="W173" t="s">
        <v>8</v>
      </c>
      <c r="X173" t="s">
        <v>8</v>
      </c>
      <c r="Y173" t="s">
        <v>8</v>
      </c>
      <c r="Z173" t="s">
        <v>8</v>
      </c>
      <c r="AA173" t="s">
        <v>8</v>
      </c>
      <c r="AB173" t="s">
        <v>8</v>
      </c>
      <c r="AC173" t="s">
        <v>8</v>
      </c>
    </row>
    <row r="174" spans="1:29" x14ac:dyDescent="0.25">
      <c r="A174">
        <v>149</v>
      </c>
      <c r="B174" t="s">
        <v>267</v>
      </c>
      <c r="C174" t="s">
        <v>28</v>
      </c>
      <c r="D174" s="6">
        <f t="shared" si="12"/>
        <v>0</v>
      </c>
      <c r="E174">
        <v>1.5</v>
      </c>
      <c r="F174">
        <v>16.399999999999999</v>
      </c>
      <c r="G174" s="3">
        <f t="shared" si="13"/>
        <v>0</v>
      </c>
      <c r="H174" s="3">
        <f t="shared" si="14"/>
        <v>0</v>
      </c>
      <c r="I174" s="3">
        <f t="shared" si="15"/>
        <v>0</v>
      </c>
      <c r="J174" s="3">
        <f t="shared" si="16"/>
        <v>0</v>
      </c>
      <c r="K174" s="3">
        <f t="shared" si="17"/>
        <v>11</v>
      </c>
      <c r="L174" t="s">
        <v>8</v>
      </c>
      <c r="M174" t="s">
        <v>8</v>
      </c>
      <c r="N174" t="s">
        <v>8</v>
      </c>
      <c r="O174" t="s">
        <v>8</v>
      </c>
      <c r="P174" t="s">
        <v>8</v>
      </c>
      <c r="Q174" t="s">
        <v>8</v>
      </c>
      <c r="R174">
        <v>0</v>
      </c>
      <c r="S174">
        <v>1.3</v>
      </c>
      <c r="T174">
        <v>0</v>
      </c>
      <c r="U174">
        <v>0</v>
      </c>
      <c r="V174" t="s">
        <v>7</v>
      </c>
      <c r="W174">
        <v>0</v>
      </c>
      <c r="X174">
        <v>0</v>
      </c>
      <c r="Y174">
        <v>2.2999999999999998</v>
      </c>
      <c r="Z174">
        <v>1.3</v>
      </c>
      <c r="AA174">
        <v>0</v>
      </c>
      <c r="AB174">
        <v>2.9</v>
      </c>
      <c r="AC174">
        <v>8.6</v>
      </c>
    </row>
    <row r="175" spans="1:29" x14ac:dyDescent="0.25">
      <c r="A175">
        <v>151</v>
      </c>
      <c r="B175" t="s">
        <v>269</v>
      </c>
      <c r="C175" t="s">
        <v>64</v>
      </c>
      <c r="D175" s="6">
        <f t="shared" si="12"/>
        <v>0</v>
      </c>
      <c r="E175">
        <v>3</v>
      </c>
      <c r="F175">
        <v>15</v>
      </c>
      <c r="G175" s="3">
        <f t="shared" si="13"/>
        <v>1</v>
      </c>
      <c r="H175" s="3">
        <f t="shared" si="14"/>
        <v>0</v>
      </c>
      <c r="I175" s="3">
        <f t="shared" si="15"/>
        <v>0</v>
      </c>
      <c r="J175" s="3">
        <f t="shared" si="16"/>
        <v>0</v>
      </c>
      <c r="K175" s="3">
        <f t="shared" si="17"/>
        <v>5</v>
      </c>
      <c r="L175" t="s">
        <v>8</v>
      </c>
      <c r="M175">
        <v>0</v>
      </c>
      <c r="N175">
        <v>3.3</v>
      </c>
      <c r="O175">
        <v>11.7</v>
      </c>
      <c r="P175" t="s">
        <v>8</v>
      </c>
      <c r="Q175" t="s">
        <v>8</v>
      </c>
      <c r="R175">
        <v>0</v>
      </c>
      <c r="S175" t="s">
        <v>8</v>
      </c>
      <c r="T175" t="s">
        <v>8</v>
      </c>
      <c r="U175" t="s">
        <v>8</v>
      </c>
      <c r="V175" t="s">
        <v>8</v>
      </c>
      <c r="W175" t="s">
        <v>8</v>
      </c>
      <c r="X175">
        <v>0</v>
      </c>
      <c r="Y175" t="s">
        <v>8</v>
      </c>
      <c r="Z175" t="s">
        <v>8</v>
      </c>
      <c r="AA175" t="s">
        <v>8</v>
      </c>
      <c r="AB175" t="s">
        <v>8</v>
      </c>
      <c r="AC175" t="s">
        <v>8</v>
      </c>
    </row>
    <row r="176" spans="1:29" x14ac:dyDescent="0.25">
      <c r="A176">
        <v>152</v>
      </c>
      <c r="B176" t="s">
        <v>268</v>
      </c>
      <c r="C176" t="s">
        <v>6</v>
      </c>
      <c r="D176" s="6">
        <f t="shared" si="12"/>
        <v>0</v>
      </c>
      <c r="E176">
        <v>0.9</v>
      </c>
      <c r="F176">
        <v>14.8</v>
      </c>
      <c r="G176" s="3">
        <f t="shared" si="13"/>
        <v>0</v>
      </c>
      <c r="H176" s="3">
        <f t="shared" si="14"/>
        <v>0</v>
      </c>
      <c r="I176" s="3">
        <f t="shared" si="15"/>
        <v>0</v>
      </c>
      <c r="J176" s="3">
        <f t="shared" si="16"/>
        <v>0</v>
      </c>
      <c r="K176" s="3">
        <f t="shared" si="17"/>
        <v>16</v>
      </c>
      <c r="L176">
        <v>0</v>
      </c>
      <c r="M176">
        <v>0</v>
      </c>
      <c r="N176">
        <v>1.9</v>
      </c>
      <c r="O176">
        <v>0</v>
      </c>
      <c r="P176" t="s">
        <v>7</v>
      </c>
      <c r="Q176">
        <v>0</v>
      </c>
      <c r="R176">
        <v>0</v>
      </c>
      <c r="S176">
        <v>0</v>
      </c>
      <c r="T176">
        <v>0</v>
      </c>
      <c r="U176">
        <v>7.5</v>
      </c>
      <c r="V176">
        <v>0</v>
      </c>
      <c r="W176">
        <v>0</v>
      </c>
      <c r="X176" t="s">
        <v>8</v>
      </c>
      <c r="Y176">
        <v>0</v>
      </c>
      <c r="Z176">
        <v>0</v>
      </c>
      <c r="AA176">
        <v>0</v>
      </c>
      <c r="AB176">
        <v>0</v>
      </c>
      <c r="AC176">
        <v>5.4</v>
      </c>
    </row>
    <row r="177" spans="1:29" x14ac:dyDescent="0.25">
      <c r="A177">
        <v>153</v>
      </c>
      <c r="B177" t="s">
        <v>265</v>
      </c>
      <c r="C177" t="s">
        <v>30</v>
      </c>
      <c r="D177" s="6">
        <f t="shared" si="12"/>
        <v>0</v>
      </c>
      <c r="E177">
        <v>1.1000000000000001</v>
      </c>
      <c r="F177">
        <v>14.7</v>
      </c>
      <c r="G177" s="3">
        <f t="shared" si="13"/>
        <v>0</v>
      </c>
      <c r="H177" s="3">
        <f t="shared" si="14"/>
        <v>0</v>
      </c>
      <c r="I177" s="3">
        <f t="shared" si="15"/>
        <v>0</v>
      </c>
      <c r="J177" s="3">
        <f t="shared" si="16"/>
        <v>0</v>
      </c>
      <c r="K177" s="3">
        <f t="shared" si="17"/>
        <v>14</v>
      </c>
      <c r="L177">
        <v>0</v>
      </c>
      <c r="M177">
        <v>5.7</v>
      </c>
      <c r="N177">
        <v>0</v>
      </c>
      <c r="O177">
        <v>0</v>
      </c>
      <c r="P177">
        <v>0</v>
      </c>
      <c r="Q177" t="s">
        <v>8</v>
      </c>
      <c r="R177">
        <v>0</v>
      </c>
      <c r="S177">
        <v>5.0999999999999996</v>
      </c>
      <c r="T177" t="s">
        <v>8</v>
      </c>
      <c r="U177">
        <v>2.1</v>
      </c>
      <c r="V177">
        <v>1.8</v>
      </c>
      <c r="W177" t="s">
        <v>7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8</v>
      </c>
    </row>
    <row r="178" spans="1:29" x14ac:dyDescent="0.25">
      <c r="A178">
        <v>156</v>
      </c>
      <c r="B178" t="s">
        <v>271</v>
      </c>
      <c r="C178" t="s">
        <v>40</v>
      </c>
      <c r="D178" s="6">
        <f t="shared" si="12"/>
        <v>0</v>
      </c>
      <c r="E178">
        <v>0.8</v>
      </c>
      <c r="F178">
        <v>14.4</v>
      </c>
      <c r="G178" s="3">
        <f t="shared" si="13"/>
        <v>0</v>
      </c>
      <c r="H178" s="3">
        <f t="shared" si="14"/>
        <v>0</v>
      </c>
      <c r="I178" s="3">
        <f t="shared" si="15"/>
        <v>0</v>
      </c>
      <c r="J178" s="3">
        <f t="shared" si="16"/>
        <v>0</v>
      </c>
      <c r="K178" s="3">
        <f t="shared" si="17"/>
        <v>17</v>
      </c>
      <c r="L178">
        <v>0</v>
      </c>
      <c r="M178">
        <v>0</v>
      </c>
      <c r="N178">
        <v>3.6</v>
      </c>
      <c r="O178">
        <v>1.6</v>
      </c>
      <c r="P178">
        <v>0</v>
      </c>
      <c r="Q178">
        <v>0</v>
      </c>
      <c r="R178">
        <v>0</v>
      </c>
      <c r="S178">
        <v>7.1</v>
      </c>
      <c r="T178">
        <v>0</v>
      </c>
      <c r="U178">
        <v>0</v>
      </c>
      <c r="V178">
        <v>2.7</v>
      </c>
      <c r="W178" t="s">
        <v>7</v>
      </c>
      <c r="X178">
        <v>0.9</v>
      </c>
      <c r="Y178">
        <v>0</v>
      </c>
      <c r="Z178">
        <v>0</v>
      </c>
      <c r="AA178">
        <v>-2</v>
      </c>
      <c r="AB178">
        <v>0</v>
      </c>
      <c r="AC178">
        <v>0.5</v>
      </c>
    </row>
    <row r="179" spans="1:29" x14ac:dyDescent="0.25">
      <c r="A179">
        <v>157</v>
      </c>
      <c r="B179" t="s">
        <v>276</v>
      </c>
      <c r="C179" t="s">
        <v>55</v>
      </c>
      <c r="D179" s="6">
        <f t="shared" si="12"/>
        <v>0</v>
      </c>
      <c r="E179">
        <v>0.9</v>
      </c>
      <c r="F179">
        <v>14.2</v>
      </c>
      <c r="G179" s="3">
        <f t="shared" si="13"/>
        <v>0</v>
      </c>
      <c r="H179" s="3">
        <f t="shared" si="14"/>
        <v>0</v>
      </c>
      <c r="I179" s="3">
        <f t="shared" si="15"/>
        <v>0</v>
      </c>
      <c r="J179" s="3">
        <f t="shared" si="16"/>
        <v>0</v>
      </c>
      <c r="K179" s="3">
        <f t="shared" si="17"/>
        <v>16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1.6</v>
      </c>
      <c r="R179">
        <v>0</v>
      </c>
      <c r="S179" t="s">
        <v>8</v>
      </c>
      <c r="T179">
        <v>0</v>
      </c>
      <c r="U179">
        <v>7.9</v>
      </c>
      <c r="V179" t="s">
        <v>7</v>
      </c>
      <c r="W179">
        <v>0</v>
      </c>
      <c r="X179">
        <v>2.8</v>
      </c>
      <c r="Y179">
        <v>0</v>
      </c>
      <c r="Z179">
        <v>0</v>
      </c>
      <c r="AA179">
        <v>1.9</v>
      </c>
      <c r="AB179">
        <v>0</v>
      </c>
      <c r="AC179">
        <v>0</v>
      </c>
    </row>
    <row r="180" spans="1:29" x14ac:dyDescent="0.25">
      <c r="A180">
        <v>157</v>
      </c>
      <c r="B180" t="s">
        <v>280</v>
      </c>
      <c r="C180" t="s">
        <v>69</v>
      </c>
      <c r="D180" s="6">
        <f t="shared" si="12"/>
        <v>0</v>
      </c>
      <c r="E180">
        <v>1.1000000000000001</v>
      </c>
      <c r="F180">
        <v>14.2</v>
      </c>
      <c r="G180" s="3">
        <f t="shared" si="13"/>
        <v>0</v>
      </c>
      <c r="H180" s="3">
        <f t="shared" si="14"/>
        <v>0</v>
      </c>
      <c r="I180" s="3">
        <f t="shared" si="15"/>
        <v>0</v>
      </c>
      <c r="J180" s="3">
        <f t="shared" si="16"/>
        <v>0</v>
      </c>
      <c r="K180" s="3">
        <f t="shared" si="17"/>
        <v>13</v>
      </c>
      <c r="L180">
        <v>1.6</v>
      </c>
      <c r="M180">
        <v>6.2</v>
      </c>
      <c r="N180">
        <v>5.2</v>
      </c>
      <c r="O180">
        <v>0</v>
      </c>
      <c r="P180">
        <v>0</v>
      </c>
      <c r="Q180">
        <v>0</v>
      </c>
      <c r="R180" t="s">
        <v>8</v>
      </c>
      <c r="S180">
        <v>1.7</v>
      </c>
      <c r="T180">
        <v>0</v>
      </c>
      <c r="U180">
        <v>1.5</v>
      </c>
      <c r="V180">
        <v>0</v>
      </c>
      <c r="W180">
        <v>-2</v>
      </c>
      <c r="X180">
        <v>0</v>
      </c>
      <c r="Y180">
        <v>0</v>
      </c>
      <c r="Z180" t="s">
        <v>8</v>
      </c>
      <c r="AA180" t="s">
        <v>8</v>
      </c>
      <c r="AB180" t="s">
        <v>8</v>
      </c>
      <c r="AC180" t="s">
        <v>8</v>
      </c>
    </row>
    <row r="181" spans="1:29" x14ac:dyDescent="0.25">
      <c r="A181">
        <v>159</v>
      </c>
      <c r="B181" t="s">
        <v>275</v>
      </c>
      <c r="C181" t="s">
        <v>90</v>
      </c>
      <c r="D181" s="6">
        <f t="shared" si="12"/>
        <v>0</v>
      </c>
      <c r="E181">
        <v>0.8</v>
      </c>
      <c r="F181">
        <v>14.1</v>
      </c>
      <c r="G181" s="3">
        <f t="shared" si="13"/>
        <v>0</v>
      </c>
      <c r="H181" s="3">
        <f t="shared" si="14"/>
        <v>0</v>
      </c>
      <c r="I181" s="3">
        <f t="shared" si="15"/>
        <v>0</v>
      </c>
      <c r="J181" s="3">
        <f t="shared" si="16"/>
        <v>0</v>
      </c>
      <c r="K181" s="3">
        <f t="shared" si="17"/>
        <v>17</v>
      </c>
      <c r="L181">
        <v>0</v>
      </c>
      <c r="M181">
        <v>3.6</v>
      </c>
      <c r="N181">
        <v>2.2999999999999998</v>
      </c>
      <c r="O181">
        <v>0</v>
      </c>
      <c r="P181">
        <v>0</v>
      </c>
      <c r="Q181" t="s">
        <v>8</v>
      </c>
      <c r="R181">
        <v>0</v>
      </c>
      <c r="S181">
        <v>0</v>
      </c>
      <c r="T181">
        <v>1.9</v>
      </c>
      <c r="U181">
        <v>0</v>
      </c>
      <c r="V181">
        <v>2.2999999999999998</v>
      </c>
      <c r="W181">
        <v>0</v>
      </c>
      <c r="X181">
        <v>1.8</v>
      </c>
      <c r="Y181">
        <v>0</v>
      </c>
      <c r="Z181">
        <v>2.2000000000000002</v>
      </c>
      <c r="AA181">
        <v>0</v>
      </c>
      <c r="AB181">
        <v>0</v>
      </c>
      <c r="AC181">
        <v>0</v>
      </c>
    </row>
    <row r="182" spans="1:29" x14ac:dyDescent="0.25">
      <c r="A182">
        <v>160</v>
      </c>
      <c r="B182" t="s">
        <v>263</v>
      </c>
      <c r="C182" t="s">
        <v>22</v>
      </c>
      <c r="D182" s="6">
        <f t="shared" si="12"/>
        <v>0</v>
      </c>
      <c r="E182">
        <v>4.5999999999999996</v>
      </c>
      <c r="F182">
        <v>13.9</v>
      </c>
      <c r="G182" s="3">
        <f t="shared" si="13"/>
        <v>1</v>
      </c>
      <c r="H182" s="3">
        <f t="shared" si="14"/>
        <v>0</v>
      </c>
      <c r="I182" s="3">
        <f t="shared" si="15"/>
        <v>0</v>
      </c>
      <c r="J182" s="3">
        <f t="shared" si="16"/>
        <v>0</v>
      </c>
      <c r="K182" s="3">
        <f t="shared" si="17"/>
        <v>3</v>
      </c>
      <c r="L182" t="s">
        <v>8</v>
      </c>
      <c r="M182" t="s">
        <v>8</v>
      </c>
      <c r="N182" t="s">
        <v>8</v>
      </c>
      <c r="O182" t="s">
        <v>8</v>
      </c>
      <c r="P182">
        <v>0</v>
      </c>
      <c r="Q182" t="s">
        <v>8</v>
      </c>
      <c r="R182" t="s">
        <v>8</v>
      </c>
      <c r="S182" t="s">
        <v>8</v>
      </c>
      <c r="T182" t="s">
        <v>8</v>
      </c>
      <c r="U182">
        <v>0</v>
      </c>
      <c r="V182" t="s">
        <v>8</v>
      </c>
      <c r="W182" t="s">
        <v>7</v>
      </c>
      <c r="X182" t="s">
        <v>8</v>
      </c>
      <c r="Y182" t="s">
        <v>8</v>
      </c>
      <c r="Z182" t="s">
        <v>8</v>
      </c>
      <c r="AA182" t="s">
        <v>8</v>
      </c>
      <c r="AB182">
        <v>13.9</v>
      </c>
      <c r="AC182" t="s">
        <v>8</v>
      </c>
    </row>
    <row r="183" spans="1:29" x14ac:dyDescent="0.25">
      <c r="A183">
        <v>161</v>
      </c>
      <c r="B183" t="s">
        <v>274</v>
      </c>
      <c r="C183" t="s">
        <v>90</v>
      </c>
      <c r="D183" s="6">
        <f t="shared" si="12"/>
        <v>0</v>
      </c>
      <c r="E183">
        <v>0.9</v>
      </c>
      <c r="F183">
        <v>13.6</v>
      </c>
      <c r="G183" s="3">
        <f t="shared" si="13"/>
        <v>0</v>
      </c>
      <c r="H183" s="3">
        <f t="shared" si="14"/>
        <v>0</v>
      </c>
      <c r="I183" s="3">
        <f t="shared" si="15"/>
        <v>0</v>
      </c>
      <c r="J183" s="3">
        <f t="shared" si="16"/>
        <v>0</v>
      </c>
      <c r="K183" s="3">
        <f t="shared" si="17"/>
        <v>15</v>
      </c>
      <c r="L183">
        <v>0</v>
      </c>
      <c r="M183">
        <v>1.4</v>
      </c>
      <c r="N183">
        <v>0</v>
      </c>
      <c r="O183">
        <v>0</v>
      </c>
      <c r="P183" t="s">
        <v>8</v>
      </c>
      <c r="Q183">
        <v>0</v>
      </c>
      <c r="R183">
        <v>0</v>
      </c>
      <c r="S183">
        <v>0</v>
      </c>
      <c r="T183" t="s">
        <v>8</v>
      </c>
      <c r="U183" t="s">
        <v>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2.2999999999999998</v>
      </c>
      <c r="AC183">
        <v>9.9</v>
      </c>
    </row>
    <row r="184" spans="1:29" x14ac:dyDescent="0.25">
      <c r="A184">
        <v>164</v>
      </c>
      <c r="B184" t="s">
        <v>273</v>
      </c>
      <c r="C184" t="s">
        <v>14</v>
      </c>
      <c r="D184" s="6">
        <f t="shared" si="12"/>
        <v>0</v>
      </c>
      <c r="E184">
        <v>1.9</v>
      </c>
      <c r="F184">
        <v>13.1</v>
      </c>
      <c r="G184" s="3">
        <f t="shared" si="13"/>
        <v>0</v>
      </c>
      <c r="H184" s="3">
        <f t="shared" si="14"/>
        <v>0</v>
      </c>
      <c r="I184" s="3">
        <f t="shared" si="15"/>
        <v>0</v>
      </c>
      <c r="J184" s="3">
        <f t="shared" si="16"/>
        <v>0</v>
      </c>
      <c r="K184" s="3">
        <f t="shared" si="17"/>
        <v>7</v>
      </c>
      <c r="L184" t="s">
        <v>8</v>
      </c>
      <c r="M184" t="s">
        <v>8</v>
      </c>
      <c r="N184" t="s">
        <v>8</v>
      </c>
      <c r="O184" t="s">
        <v>8</v>
      </c>
      <c r="P184" t="s">
        <v>8</v>
      </c>
      <c r="Q184" t="s">
        <v>8</v>
      </c>
      <c r="R184" t="s">
        <v>8</v>
      </c>
      <c r="S184" t="s">
        <v>8</v>
      </c>
      <c r="T184" t="s">
        <v>8</v>
      </c>
      <c r="U184">
        <v>0</v>
      </c>
      <c r="V184" t="s">
        <v>8</v>
      </c>
      <c r="W184" t="s">
        <v>7</v>
      </c>
      <c r="X184">
        <v>0</v>
      </c>
      <c r="Y184">
        <v>1.9</v>
      </c>
      <c r="Z184">
        <v>3.6</v>
      </c>
      <c r="AA184">
        <v>0</v>
      </c>
      <c r="AB184">
        <v>0</v>
      </c>
      <c r="AC184">
        <v>7.6</v>
      </c>
    </row>
    <row r="185" spans="1:29" x14ac:dyDescent="0.25">
      <c r="A185">
        <v>166</v>
      </c>
      <c r="B185" t="s">
        <v>281</v>
      </c>
      <c r="C185" t="s">
        <v>78</v>
      </c>
      <c r="D185" s="6">
        <f t="shared" si="12"/>
        <v>0</v>
      </c>
      <c r="E185">
        <v>1.2</v>
      </c>
      <c r="F185">
        <v>11.9</v>
      </c>
      <c r="G185" s="3">
        <f t="shared" si="13"/>
        <v>0</v>
      </c>
      <c r="H185" s="3">
        <f t="shared" si="14"/>
        <v>0</v>
      </c>
      <c r="I185" s="3">
        <f t="shared" si="15"/>
        <v>0</v>
      </c>
      <c r="J185" s="3">
        <f t="shared" si="16"/>
        <v>0</v>
      </c>
      <c r="K185" s="3">
        <f t="shared" si="17"/>
        <v>10</v>
      </c>
      <c r="L185" t="s">
        <v>8</v>
      </c>
      <c r="M185">
        <v>0</v>
      </c>
      <c r="N185" t="s">
        <v>8</v>
      </c>
      <c r="O185" t="s">
        <v>8</v>
      </c>
      <c r="P185">
        <v>0</v>
      </c>
      <c r="Q185" t="s">
        <v>8</v>
      </c>
      <c r="R185" t="s">
        <v>8</v>
      </c>
      <c r="S185" t="s">
        <v>8</v>
      </c>
      <c r="T185" t="s">
        <v>7</v>
      </c>
      <c r="U185">
        <v>0</v>
      </c>
      <c r="V185">
        <v>1.4</v>
      </c>
      <c r="W185">
        <v>0</v>
      </c>
      <c r="X185">
        <v>3.3</v>
      </c>
      <c r="Y185">
        <v>0</v>
      </c>
      <c r="Z185">
        <v>2.7</v>
      </c>
      <c r="AA185">
        <v>4.5</v>
      </c>
      <c r="AB185" t="s">
        <v>8</v>
      </c>
      <c r="AC185">
        <v>0</v>
      </c>
    </row>
    <row r="186" spans="1:29" x14ac:dyDescent="0.25">
      <c r="A186">
        <v>167</v>
      </c>
      <c r="B186" t="s">
        <v>282</v>
      </c>
      <c r="C186" t="s">
        <v>78</v>
      </c>
      <c r="D186" s="6">
        <f t="shared" si="12"/>
        <v>0</v>
      </c>
      <c r="E186">
        <v>0.9</v>
      </c>
      <c r="F186">
        <v>11.9</v>
      </c>
      <c r="G186" s="3">
        <f t="shared" si="13"/>
        <v>0</v>
      </c>
      <c r="H186" s="3">
        <f t="shared" si="14"/>
        <v>0</v>
      </c>
      <c r="I186" s="3">
        <f t="shared" si="15"/>
        <v>0</v>
      </c>
      <c r="J186" s="3">
        <f t="shared" si="16"/>
        <v>0</v>
      </c>
      <c r="K186" s="3">
        <f t="shared" si="17"/>
        <v>13</v>
      </c>
      <c r="L186">
        <v>0</v>
      </c>
      <c r="M186">
        <v>0</v>
      </c>
      <c r="N186">
        <v>5.0999999999999996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7</v>
      </c>
      <c r="U186" t="s">
        <v>8</v>
      </c>
      <c r="V186">
        <v>0</v>
      </c>
      <c r="W186" t="s">
        <v>8</v>
      </c>
      <c r="X186" t="s">
        <v>8</v>
      </c>
      <c r="Y186">
        <v>6.8</v>
      </c>
      <c r="Z186">
        <v>0</v>
      </c>
      <c r="AA186">
        <v>0</v>
      </c>
      <c r="AB186">
        <v>0</v>
      </c>
      <c r="AC186" t="s">
        <v>8</v>
      </c>
    </row>
    <row r="187" spans="1:29" x14ac:dyDescent="0.25">
      <c r="A187">
        <v>168</v>
      </c>
      <c r="B187" t="s">
        <v>284</v>
      </c>
      <c r="C187" t="s">
        <v>76</v>
      </c>
      <c r="D187" s="6">
        <f t="shared" si="12"/>
        <v>0</v>
      </c>
      <c r="E187">
        <v>0.7</v>
      </c>
      <c r="F187">
        <v>10.7</v>
      </c>
      <c r="G187" s="3">
        <f t="shared" si="13"/>
        <v>0</v>
      </c>
      <c r="H187" s="3">
        <f t="shared" si="14"/>
        <v>0</v>
      </c>
      <c r="I187" s="3">
        <f t="shared" si="15"/>
        <v>0</v>
      </c>
      <c r="J187" s="3">
        <f t="shared" si="16"/>
        <v>0</v>
      </c>
      <c r="K187" s="3">
        <f t="shared" si="17"/>
        <v>15</v>
      </c>
      <c r="L187">
        <v>0</v>
      </c>
      <c r="M187">
        <v>0</v>
      </c>
      <c r="N187">
        <v>0</v>
      </c>
      <c r="O187">
        <v>0</v>
      </c>
      <c r="P187" t="s">
        <v>8</v>
      </c>
      <c r="Q187">
        <v>0</v>
      </c>
      <c r="R187">
        <v>7</v>
      </c>
      <c r="S187">
        <v>0</v>
      </c>
      <c r="T187" t="s">
        <v>7</v>
      </c>
      <c r="U187">
        <v>-2</v>
      </c>
      <c r="V187">
        <v>0</v>
      </c>
      <c r="W187" t="s">
        <v>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5.7</v>
      </c>
    </row>
    <row r="188" spans="1:29" x14ac:dyDescent="0.25">
      <c r="A188">
        <v>170</v>
      </c>
      <c r="B188" t="s">
        <v>287</v>
      </c>
      <c r="C188" t="s">
        <v>20</v>
      </c>
      <c r="D188" s="6">
        <f t="shared" si="12"/>
        <v>0</v>
      </c>
      <c r="E188">
        <v>2.1</v>
      </c>
      <c r="F188">
        <v>10.4</v>
      </c>
      <c r="G188" s="3">
        <f t="shared" si="13"/>
        <v>0</v>
      </c>
      <c r="H188" s="3">
        <f t="shared" si="14"/>
        <v>0</v>
      </c>
      <c r="I188" s="3">
        <f t="shared" si="15"/>
        <v>0</v>
      </c>
      <c r="J188" s="3">
        <f t="shared" si="16"/>
        <v>0</v>
      </c>
      <c r="K188" s="3">
        <f t="shared" si="17"/>
        <v>5</v>
      </c>
      <c r="L188">
        <v>0</v>
      </c>
      <c r="M188">
        <v>8.3000000000000007</v>
      </c>
      <c r="N188">
        <v>2.1</v>
      </c>
      <c r="O188" t="s">
        <v>8</v>
      </c>
      <c r="P188" t="s">
        <v>8</v>
      </c>
      <c r="Q188" t="s">
        <v>7</v>
      </c>
      <c r="R188" t="s">
        <v>8</v>
      </c>
      <c r="S188" t="s">
        <v>8</v>
      </c>
      <c r="T188" t="s">
        <v>8</v>
      </c>
      <c r="U188" t="s">
        <v>8</v>
      </c>
      <c r="V188" t="s">
        <v>8</v>
      </c>
      <c r="W188">
        <v>0</v>
      </c>
      <c r="X188">
        <v>0</v>
      </c>
      <c r="Y188" t="s">
        <v>8</v>
      </c>
      <c r="Z188" t="s">
        <v>8</v>
      </c>
      <c r="AA188" t="s">
        <v>8</v>
      </c>
      <c r="AB188" t="s">
        <v>8</v>
      </c>
      <c r="AC188" t="s">
        <v>8</v>
      </c>
    </row>
    <row r="189" spans="1:29" x14ac:dyDescent="0.25">
      <c r="A189">
        <v>172</v>
      </c>
      <c r="B189" t="s">
        <v>285</v>
      </c>
      <c r="C189" t="s">
        <v>12</v>
      </c>
      <c r="D189" s="6">
        <f t="shared" si="12"/>
        <v>0</v>
      </c>
      <c r="E189">
        <v>1.3</v>
      </c>
      <c r="F189">
        <v>9.1</v>
      </c>
      <c r="G189" s="3">
        <f t="shared" si="13"/>
        <v>0</v>
      </c>
      <c r="H189" s="3">
        <f t="shared" si="14"/>
        <v>0</v>
      </c>
      <c r="I189" s="3">
        <f t="shared" si="15"/>
        <v>0</v>
      </c>
      <c r="J189" s="3">
        <f t="shared" si="16"/>
        <v>0</v>
      </c>
      <c r="K189" s="3">
        <f t="shared" si="17"/>
        <v>7</v>
      </c>
      <c r="L189" t="s">
        <v>8</v>
      </c>
      <c r="M189" t="s">
        <v>8</v>
      </c>
      <c r="N189" t="s">
        <v>8</v>
      </c>
      <c r="O189" t="s">
        <v>8</v>
      </c>
      <c r="P189" t="s">
        <v>8</v>
      </c>
      <c r="Q189" t="s">
        <v>8</v>
      </c>
      <c r="R189">
        <v>0</v>
      </c>
      <c r="S189" t="s">
        <v>8</v>
      </c>
      <c r="T189">
        <v>0</v>
      </c>
      <c r="U189" t="s">
        <v>8</v>
      </c>
      <c r="V189" t="s">
        <v>8</v>
      </c>
      <c r="W189">
        <v>0</v>
      </c>
      <c r="X189" t="s">
        <v>8</v>
      </c>
      <c r="Y189" t="s">
        <v>7</v>
      </c>
      <c r="Z189">
        <v>9.1</v>
      </c>
      <c r="AA189">
        <v>0</v>
      </c>
      <c r="AB189">
        <v>0</v>
      </c>
      <c r="AC189">
        <v>0</v>
      </c>
    </row>
    <row r="190" spans="1:29" x14ac:dyDescent="0.25">
      <c r="A190">
        <v>173</v>
      </c>
      <c r="B190" t="s">
        <v>288</v>
      </c>
      <c r="C190" t="s">
        <v>62</v>
      </c>
      <c r="D190" s="6">
        <f t="shared" si="12"/>
        <v>0</v>
      </c>
      <c r="E190">
        <v>1.5</v>
      </c>
      <c r="F190">
        <v>8.6999999999999993</v>
      </c>
      <c r="G190" s="3">
        <f t="shared" si="13"/>
        <v>0</v>
      </c>
      <c r="H190" s="3">
        <f t="shared" si="14"/>
        <v>0</v>
      </c>
      <c r="I190" s="3">
        <f t="shared" si="15"/>
        <v>0</v>
      </c>
      <c r="J190" s="3">
        <f t="shared" si="16"/>
        <v>0</v>
      </c>
      <c r="K190" s="3">
        <f t="shared" si="17"/>
        <v>6</v>
      </c>
      <c r="L190">
        <v>4.7</v>
      </c>
      <c r="M190">
        <v>0</v>
      </c>
      <c r="N190">
        <v>0</v>
      </c>
      <c r="O190">
        <v>0</v>
      </c>
      <c r="P190">
        <v>0</v>
      </c>
      <c r="Q190" t="s">
        <v>7</v>
      </c>
      <c r="R190" t="s">
        <v>8</v>
      </c>
      <c r="S190">
        <v>4</v>
      </c>
      <c r="T190" t="s">
        <v>8</v>
      </c>
      <c r="U190" t="s">
        <v>8</v>
      </c>
      <c r="V190" t="s">
        <v>8</v>
      </c>
      <c r="W190" t="s">
        <v>8</v>
      </c>
      <c r="X190" t="s">
        <v>8</v>
      </c>
      <c r="Y190" t="s">
        <v>8</v>
      </c>
      <c r="Z190" t="s">
        <v>8</v>
      </c>
      <c r="AA190" t="s">
        <v>8</v>
      </c>
      <c r="AB190" t="s">
        <v>8</v>
      </c>
      <c r="AC190" t="s">
        <v>8</v>
      </c>
    </row>
    <row r="191" spans="1:29" x14ac:dyDescent="0.25">
      <c r="A191">
        <v>176</v>
      </c>
      <c r="B191" t="s">
        <v>292</v>
      </c>
      <c r="C191" t="s">
        <v>6</v>
      </c>
      <c r="D191" s="6">
        <f t="shared" si="12"/>
        <v>0</v>
      </c>
      <c r="E191">
        <v>1</v>
      </c>
      <c r="F191">
        <v>7.1</v>
      </c>
      <c r="G191" s="3">
        <f t="shared" si="13"/>
        <v>0</v>
      </c>
      <c r="H191" s="3">
        <f t="shared" si="14"/>
        <v>0</v>
      </c>
      <c r="I191" s="3">
        <f t="shared" si="15"/>
        <v>0</v>
      </c>
      <c r="J191" s="3">
        <f t="shared" si="16"/>
        <v>0</v>
      </c>
      <c r="K191" s="3">
        <f t="shared" si="17"/>
        <v>7</v>
      </c>
      <c r="L191" t="s">
        <v>8</v>
      </c>
      <c r="M191" t="s">
        <v>8</v>
      </c>
      <c r="N191" t="s">
        <v>8</v>
      </c>
      <c r="O191" t="s">
        <v>8</v>
      </c>
      <c r="P191" t="s">
        <v>7</v>
      </c>
      <c r="Q191" t="s">
        <v>8</v>
      </c>
      <c r="R191" t="s">
        <v>8</v>
      </c>
      <c r="S191" t="s">
        <v>8</v>
      </c>
      <c r="T191" t="s">
        <v>8</v>
      </c>
      <c r="U191" t="s">
        <v>8</v>
      </c>
      <c r="V191">
        <v>0</v>
      </c>
      <c r="W191" t="s">
        <v>8</v>
      </c>
      <c r="X191">
        <v>0</v>
      </c>
      <c r="Y191">
        <v>1.6</v>
      </c>
      <c r="Z191">
        <v>1.7</v>
      </c>
      <c r="AA191">
        <v>0</v>
      </c>
      <c r="AB191">
        <v>3.8</v>
      </c>
      <c r="AC191">
        <v>0</v>
      </c>
    </row>
    <row r="192" spans="1:29" x14ac:dyDescent="0.25">
      <c r="A192">
        <v>176</v>
      </c>
      <c r="B192" t="s">
        <v>293</v>
      </c>
      <c r="C192" t="s">
        <v>38</v>
      </c>
      <c r="D192" s="6">
        <f t="shared" si="12"/>
        <v>0</v>
      </c>
      <c r="E192">
        <v>0.4</v>
      </c>
      <c r="F192">
        <v>7.1</v>
      </c>
      <c r="G192" s="3">
        <f t="shared" si="13"/>
        <v>0</v>
      </c>
      <c r="H192" s="3">
        <f t="shared" si="14"/>
        <v>0</v>
      </c>
      <c r="I192" s="3">
        <f t="shared" si="15"/>
        <v>0</v>
      </c>
      <c r="J192" s="3">
        <f t="shared" si="16"/>
        <v>0</v>
      </c>
      <c r="K192" s="3">
        <f t="shared" si="17"/>
        <v>16</v>
      </c>
      <c r="L192">
        <v>0</v>
      </c>
      <c r="M192" t="s">
        <v>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2</v>
      </c>
      <c r="U192">
        <v>0</v>
      </c>
      <c r="V192">
        <v>0</v>
      </c>
      <c r="W192" t="s">
        <v>8</v>
      </c>
      <c r="X192">
        <v>0</v>
      </c>
      <c r="Y192">
        <v>0</v>
      </c>
      <c r="Z192">
        <v>0</v>
      </c>
      <c r="AA192">
        <v>0</v>
      </c>
      <c r="AB192">
        <v>2.1</v>
      </c>
      <c r="AC192">
        <v>0</v>
      </c>
    </row>
    <row r="193" spans="1:29" x14ac:dyDescent="0.25">
      <c r="A193">
        <v>178</v>
      </c>
      <c r="B193" t="s">
        <v>291</v>
      </c>
      <c r="C193" t="s">
        <v>62</v>
      </c>
      <c r="D193" s="6">
        <f t="shared" si="12"/>
        <v>0</v>
      </c>
      <c r="E193">
        <v>1.4</v>
      </c>
      <c r="F193">
        <v>6.8</v>
      </c>
      <c r="G193" s="3">
        <f t="shared" si="13"/>
        <v>0</v>
      </c>
      <c r="H193" s="3">
        <f t="shared" si="14"/>
        <v>0</v>
      </c>
      <c r="I193" s="3">
        <f t="shared" si="15"/>
        <v>0</v>
      </c>
      <c r="J193" s="3">
        <f t="shared" si="16"/>
        <v>0</v>
      </c>
      <c r="K193" s="3">
        <f t="shared" si="17"/>
        <v>5</v>
      </c>
      <c r="L193" t="s">
        <v>8</v>
      </c>
      <c r="M193" t="s">
        <v>8</v>
      </c>
      <c r="N193" t="s">
        <v>8</v>
      </c>
      <c r="O193" t="s">
        <v>8</v>
      </c>
      <c r="P193" t="s">
        <v>8</v>
      </c>
      <c r="Q193" t="s">
        <v>7</v>
      </c>
      <c r="R193" t="s">
        <v>8</v>
      </c>
      <c r="S193" t="s">
        <v>8</v>
      </c>
      <c r="T193" t="s">
        <v>8</v>
      </c>
      <c r="U193" t="s">
        <v>8</v>
      </c>
      <c r="V193" t="s">
        <v>8</v>
      </c>
      <c r="W193" t="s">
        <v>8</v>
      </c>
      <c r="X193" t="s">
        <v>8</v>
      </c>
      <c r="Y193">
        <v>0</v>
      </c>
      <c r="Z193">
        <v>0</v>
      </c>
      <c r="AA193">
        <v>0</v>
      </c>
      <c r="AB193">
        <v>0</v>
      </c>
      <c r="AC193">
        <v>6.8</v>
      </c>
    </row>
    <row r="194" spans="1:29" x14ac:dyDescent="0.25">
      <c r="A194">
        <v>179</v>
      </c>
      <c r="B194" t="s">
        <v>299</v>
      </c>
      <c r="C194" t="s">
        <v>90</v>
      </c>
      <c r="D194" s="6">
        <f t="shared" ref="D194:D259" si="18">MEDIAN(L194:AC194)</f>
        <v>0</v>
      </c>
      <c r="E194">
        <v>1</v>
      </c>
      <c r="F194">
        <v>6.7</v>
      </c>
      <c r="G194" s="3">
        <f t="shared" ref="G194:G259" si="19">COUNTIFS(L194:AC194,"&gt;=10",L194:AC194,"&lt;=99")</f>
        <v>0</v>
      </c>
      <c r="H194" s="3">
        <f t="shared" ref="H194:H259" si="20">COUNTIFS(L194:AC194,"&gt;=15",L194:AC194,"&lt;=99")</f>
        <v>0</v>
      </c>
      <c r="I194" s="3">
        <f t="shared" ref="I194:I259" si="21">COUNTIFS(L194:AC194,"&gt;=20",L194:AC194,"&lt;=99")</f>
        <v>0</v>
      </c>
      <c r="J194" s="3">
        <f t="shared" ref="J194:J259" si="22">COUNTIFS(L194:AC194,"&gt;=30",L194:AC194,"&lt;=99")</f>
        <v>0</v>
      </c>
      <c r="K194" s="3">
        <f t="shared" ref="K194:K257" si="23">COUNT(L194:AC194)</f>
        <v>7</v>
      </c>
      <c r="L194" t="s">
        <v>8</v>
      </c>
      <c r="M194" t="s">
        <v>8</v>
      </c>
      <c r="N194" t="s">
        <v>8</v>
      </c>
      <c r="O194" t="s">
        <v>8</v>
      </c>
      <c r="P194" t="s">
        <v>8</v>
      </c>
      <c r="Q194" t="s">
        <v>8</v>
      </c>
      <c r="R194" t="s">
        <v>8</v>
      </c>
      <c r="S194" t="s">
        <v>8</v>
      </c>
      <c r="T194">
        <v>-0.2</v>
      </c>
      <c r="U194">
        <v>0</v>
      </c>
      <c r="V194" t="s">
        <v>8</v>
      </c>
      <c r="W194">
        <v>4.3</v>
      </c>
      <c r="X194">
        <v>0</v>
      </c>
      <c r="Y194">
        <v>1.7</v>
      </c>
      <c r="Z194">
        <v>0</v>
      </c>
      <c r="AA194">
        <v>0.9</v>
      </c>
      <c r="AB194" t="s">
        <v>8</v>
      </c>
      <c r="AC194" t="s">
        <v>8</v>
      </c>
    </row>
    <row r="195" spans="1:29" x14ac:dyDescent="0.25">
      <c r="A195">
        <v>181</v>
      </c>
      <c r="B195" t="s">
        <v>295</v>
      </c>
      <c r="C195" t="s">
        <v>53</v>
      </c>
      <c r="D195" s="6">
        <f t="shared" si="18"/>
        <v>0</v>
      </c>
      <c r="E195">
        <v>1.6</v>
      </c>
      <c r="F195">
        <v>6.4</v>
      </c>
      <c r="G195" s="3">
        <f t="shared" si="19"/>
        <v>0</v>
      </c>
      <c r="H195" s="3">
        <f t="shared" si="20"/>
        <v>0</v>
      </c>
      <c r="I195" s="3">
        <f t="shared" si="21"/>
        <v>0</v>
      </c>
      <c r="J195" s="3">
        <f t="shared" si="22"/>
        <v>0</v>
      </c>
      <c r="K195" s="3">
        <f t="shared" si="23"/>
        <v>4</v>
      </c>
      <c r="L195" t="s">
        <v>8</v>
      </c>
      <c r="M195" t="s">
        <v>8</v>
      </c>
      <c r="N195" t="s">
        <v>8</v>
      </c>
      <c r="O195" t="s">
        <v>8</v>
      </c>
      <c r="P195" t="s">
        <v>8</v>
      </c>
      <c r="Q195" t="s">
        <v>8</v>
      </c>
      <c r="R195" t="s">
        <v>8</v>
      </c>
      <c r="S195" t="s">
        <v>8</v>
      </c>
      <c r="T195">
        <v>6.4</v>
      </c>
      <c r="U195" t="s">
        <v>7</v>
      </c>
      <c r="V195">
        <v>0</v>
      </c>
      <c r="W195">
        <v>0</v>
      </c>
      <c r="X195">
        <v>0</v>
      </c>
      <c r="Y195" t="s">
        <v>8</v>
      </c>
      <c r="Z195" t="s">
        <v>8</v>
      </c>
      <c r="AA195" t="s">
        <v>8</v>
      </c>
      <c r="AB195" t="s">
        <v>8</v>
      </c>
      <c r="AC195" t="s">
        <v>8</v>
      </c>
    </row>
    <row r="196" spans="1:29" x14ac:dyDescent="0.25">
      <c r="A196">
        <v>182</v>
      </c>
      <c r="B196" t="s">
        <v>297</v>
      </c>
      <c r="C196" t="s">
        <v>20</v>
      </c>
      <c r="D196" s="6">
        <f t="shared" si="18"/>
        <v>0</v>
      </c>
      <c r="E196">
        <v>0.4</v>
      </c>
      <c r="F196">
        <v>6.2</v>
      </c>
      <c r="G196" s="3">
        <f t="shared" si="19"/>
        <v>0</v>
      </c>
      <c r="H196" s="3">
        <f t="shared" si="20"/>
        <v>0</v>
      </c>
      <c r="I196" s="3">
        <f t="shared" si="21"/>
        <v>0</v>
      </c>
      <c r="J196" s="3">
        <f t="shared" si="22"/>
        <v>0</v>
      </c>
      <c r="K196" s="3">
        <f t="shared" si="23"/>
        <v>15</v>
      </c>
      <c r="L196" t="s">
        <v>8</v>
      </c>
      <c r="M196" t="s">
        <v>8</v>
      </c>
      <c r="N196">
        <v>0</v>
      </c>
      <c r="O196">
        <v>0</v>
      </c>
      <c r="P196">
        <v>2.6</v>
      </c>
      <c r="Q196" t="s">
        <v>7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0.6</v>
      </c>
    </row>
    <row r="197" spans="1:29" x14ac:dyDescent="0.25">
      <c r="A197">
        <v>183</v>
      </c>
      <c r="B197" t="s">
        <v>300</v>
      </c>
      <c r="C197" t="s">
        <v>97</v>
      </c>
      <c r="D197" s="6">
        <f t="shared" si="18"/>
        <v>0</v>
      </c>
      <c r="E197">
        <v>1.2</v>
      </c>
      <c r="F197">
        <v>6.1</v>
      </c>
      <c r="G197" s="3">
        <f t="shared" si="19"/>
        <v>0</v>
      </c>
      <c r="H197" s="3">
        <f t="shared" si="20"/>
        <v>0</v>
      </c>
      <c r="I197" s="3">
        <f t="shared" si="21"/>
        <v>0</v>
      </c>
      <c r="J197" s="3">
        <f t="shared" si="22"/>
        <v>0</v>
      </c>
      <c r="K197" s="3">
        <f t="shared" si="23"/>
        <v>5</v>
      </c>
      <c r="L197" t="s">
        <v>8</v>
      </c>
      <c r="M197" t="s">
        <v>8</v>
      </c>
      <c r="N197" t="s">
        <v>8</v>
      </c>
      <c r="O197">
        <v>0</v>
      </c>
      <c r="P197">
        <v>0</v>
      </c>
      <c r="Q197">
        <v>6.1</v>
      </c>
      <c r="R197">
        <v>0</v>
      </c>
      <c r="S197">
        <v>0</v>
      </c>
      <c r="T197" t="s">
        <v>8</v>
      </c>
      <c r="U197" t="s">
        <v>7</v>
      </c>
      <c r="V197" t="s">
        <v>8</v>
      </c>
      <c r="W197" t="s">
        <v>8</v>
      </c>
      <c r="X197" t="s">
        <v>8</v>
      </c>
      <c r="Y197" t="s">
        <v>8</v>
      </c>
      <c r="Z197" t="s">
        <v>8</v>
      </c>
      <c r="AA197" t="s">
        <v>8</v>
      </c>
      <c r="AB197" t="s">
        <v>8</v>
      </c>
      <c r="AC197" t="s">
        <v>8</v>
      </c>
    </row>
    <row r="198" spans="1:29" x14ac:dyDescent="0.25">
      <c r="A198">
        <v>184</v>
      </c>
      <c r="B198" t="s">
        <v>301</v>
      </c>
      <c r="C198" t="s">
        <v>90</v>
      </c>
      <c r="D198" s="6">
        <f t="shared" si="18"/>
        <v>0</v>
      </c>
      <c r="E198">
        <v>0.5</v>
      </c>
      <c r="F198">
        <v>6</v>
      </c>
      <c r="G198" s="3">
        <f t="shared" si="19"/>
        <v>0</v>
      </c>
      <c r="H198" s="3">
        <f t="shared" si="20"/>
        <v>0</v>
      </c>
      <c r="I198" s="3">
        <f t="shared" si="21"/>
        <v>0</v>
      </c>
      <c r="J198" s="3">
        <f t="shared" si="22"/>
        <v>0</v>
      </c>
      <c r="K198" s="3">
        <f t="shared" si="23"/>
        <v>12</v>
      </c>
      <c r="L198" t="s">
        <v>8</v>
      </c>
      <c r="M198" t="s">
        <v>8</v>
      </c>
      <c r="N198">
        <v>0</v>
      </c>
      <c r="O198" t="s">
        <v>8</v>
      </c>
      <c r="P198" t="s">
        <v>8</v>
      </c>
      <c r="Q198">
        <v>0</v>
      </c>
      <c r="R198" t="s">
        <v>8</v>
      </c>
      <c r="S198">
        <v>0</v>
      </c>
      <c r="T198">
        <v>1.2</v>
      </c>
      <c r="U198">
        <v>0</v>
      </c>
      <c r="V198">
        <v>1.7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3.1</v>
      </c>
      <c r="AC198" t="s">
        <v>8</v>
      </c>
    </row>
    <row r="199" spans="1:29" x14ac:dyDescent="0.25">
      <c r="A199">
        <v>184</v>
      </c>
      <c r="B199" t="s">
        <v>289</v>
      </c>
      <c r="C199" t="s">
        <v>55</v>
      </c>
      <c r="D199" s="6">
        <f t="shared" si="18"/>
        <v>0</v>
      </c>
      <c r="E199">
        <v>0.4</v>
      </c>
      <c r="F199">
        <v>6</v>
      </c>
      <c r="G199" s="3">
        <f t="shared" si="19"/>
        <v>0</v>
      </c>
      <c r="H199" s="3">
        <f t="shared" si="20"/>
        <v>0</v>
      </c>
      <c r="I199" s="3">
        <f t="shared" si="21"/>
        <v>0</v>
      </c>
      <c r="J199" s="3">
        <f t="shared" si="22"/>
        <v>0</v>
      </c>
      <c r="K199" s="3">
        <f t="shared" si="23"/>
        <v>15</v>
      </c>
      <c r="L199" t="s">
        <v>8</v>
      </c>
      <c r="M199" t="s">
        <v>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7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</v>
      </c>
      <c r="AC199">
        <v>0</v>
      </c>
    </row>
    <row r="200" spans="1:29" x14ac:dyDescent="0.25">
      <c r="A200">
        <v>187</v>
      </c>
      <c r="B200" t="s">
        <v>298</v>
      </c>
      <c r="C200" t="s">
        <v>30</v>
      </c>
      <c r="D200" s="6">
        <f t="shared" si="18"/>
        <v>0</v>
      </c>
      <c r="E200">
        <v>0.7</v>
      </c>
      <c r="F200">
        <v>5.5</v>
      </c>
      <c r="G200" s="3">
        <f t="shared" si="19"/>
        <v>0</v>
      </c>
      <c r="H200" s="3">
        <f t="shared" si="20"/>
        <v>0</v>
      </c>
      <c r="I200" s="3">
        <f t="shared" si="21"/>
        <v>0</v>
      </c>
      <c r="J200" s="3">
        <f t="shared" si="22"/>
        <v>0</v>
      </c>
      <c r="K200" s="3">
        <f t="shared" si="23"/>
        <v>8</v>
      </c>
      <c r="L200">
        <v>-0.5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</v>
      </c>
      <c r="S200">
        <v>0</v>
      </c>
      <c r="T200" t="s">
        <v>8</v>
      </c>
      <c r="U200" t="s">
        <v>8</v>
      </c>
      <c r="V200" t="s">
        <v>8</v>
      </c>
      <c r="W200" t="s">
        <v>7</v>
      </c>
      <c r="X200" t="s">
        <v>8</v>
      </c>
      <c r="Y200" t="s">
        <v>8</v>
      </c>
      <c r="Z200" t="s">
        <v>8</v>
      </c>
      <c r="AA200" t="s">
        <v>8</v>
      </c>
      <c r="AB200" t="s">
        <v>8</v>
      </c>
      <c r="AC200" t="s">
        <v>8</v>
      </c>
    </row>
    <row r="201" spans="1:29" x14ac:dyDescent="0.25">
      <c r="A201">
        <v>188</v>
      </c>
      <c r="B201" t="s">
        <v>304</v>
      </c>
      <c r="C201" t="s">
        <v>69</v>
      </c>
      <c r="D201" s="6">
        <f t="shared" si="18"/>
        <v>0</v>
      </c>
      <c r="E201">
        <v>0.6</v>
      </c>
      <c r="F201">
        <v>5.2</v>
      </c>
      <c r="G201" s="3">
        <f t="shared" si="19"/>
        <v>0</v>
      </c>
      <c r="H201" s="3">
        <f t="shared" si="20"/>
        <v>0</v>
      </c>
      <c r="I201" s="3">
        <f t="shared" si="21"/>
        <v>0</v>
      </c>
      <c r="J201" s="3">
        <f t="shared" si="22"/>
        <v>0</v>
      </c>
      <c r="K201" s="3">
        <f t="shared" si="23"/>
        <v>9</v>
      </c>
      <c r="L201" t="s">
        <v>8</v>
      </c>
      <c r="M201" t="s">
        <v>8</v>
      </c>
      <c r="N201" t="s">
        <v>8</v>
      </c>
      <c r="O201" t="s">
        <v>8</v>
      </c>
      <c r="P201" t="s">
        <v>8</v>
      </c>
      <c r="Q201" t="s">
        <v>8</v>
      </c>
      <c r="R201">
        <v>0</v>
      </c>
      <c r="S201" t="s">
        <v>8</v>
      </c>
      <c r="T201">
        <v>0</v>
      </c>
      <c r="U201" t="s">
        <v>7</v>
      </c>
      <c r="V201">
        <v>2.1</v>
      </c>
      <c r="W201">
        <v>0</v>
      </c>
      <c r="X201">
        <v>3.1</v>
      </c>
      <c r="Y201" t="s">
        <v>8</v>
      </c>
      <c r="Z201">
        <v>0</v>
      </c>
      <c r="AA201">
        <v>0</v>
      </c>
      <c r="AB201">
        <v>0</v>
      </c>
      <c r="AC201">
        <v>0</v>
      </c>
    </row>
    <row r="202" spans="1:29" x14ac:dyDescent="0.25">
      <c r="A202">
        <v>190</v>
      </c>
      <c r="B202" t="s">
        <v>306</v>
      </c>
      <c r="C202" t="s">
        <v>66</v>
      </c>
      <c r="D202" s="6">
        <f t="shared" si="18"/>
        <v>0</v>
      </c>
      <c r="E202">
        <v>0.6</v>
      </c>
      <c r="F202">
        <v>4.5</v>
      </c>
      <c r="G202" s="3">
        <f t="shared" si="19"/>
        <v>0</v>
      </c>
      <c r="H202" s="3">
        <f t="shared" si="20"/>
        <v>0</v>
      </c>
      <c r="I202" s="3">
        <f t="shared" si="21"/>
        <v>0</v>
      </c>
      <c r="J202" s="3">
        <f t="shared" si="22"/>
        <v>0</v>
      </c>
      <c r="K202" s="3">
        <f t="shared" si="23"/>
        <v>7</v>
      </c>
      <c r="L202">
        <v>1.6</v>
      </c>
      <c r="M202">
        <v>1.5</v>
      </c>
      <c r="N202" t="s">
        <v>8</v>
      </c>
      <c r="O202" t="s">
        <v>8</v>
      </c>
      <c r="P202" t="s">
        <v>8</v>
      </c>
      <c r="Q202">
        <v>0</v>
      </c>
      <c r="R202" t="s">
        <v>8</v>
      </c>
      <c r="S202">
        <v>1.4</v>
      </c>
      <c r="T202">
        <v>0</v>
      </c>
      <c r="U202">
        <v>0</v>
      </c>
      <c r="V202">
        <v>0</v>
      </c>
      <c r="W202" t="s">
        <v>7</v>
      </c>
      <c r="X202" t="s">
        <v>8</v>
      </c>
      <c r="Y202" t="s">
        <v>8</v>
      </c>
      <c r="Z202" t="s">
        <v>8</v>
      </c>
      <c r="AA202" t="s">
        <v>8</v>
      </c>
      <c r="AB202" t="s">
        <v>8</v>
      </c>
      <c r="AC202" t="s">
        <v>8</v>
      </c>
    </row>
    <row r="203" spans="1:29" x14ac:dyDescent="0.25">
      <c r="A203">
        <v>191</v>
      </c>
      <c r="B203" t="s">
        <v>305</v>
      </c>
      <c r="C203" t="s">
        <v>10</v>
      </c>
      <c r="D203" s="6">
        <f t="shared" si="18"/>
        <v>0</v>
      </c>
      <c r="E203">
        <v>0.5</v>
      </c>
      <c r="F203">
        <v>4.2</v>
      </c>
      <c r="G203" s="3">
        <f t="shared" si="19"/>
        <v>0</v>
      </c>
      <c r="H203" s="3">
        <f t="shared" si="20"/>
        <v>0</v>
      </c>
      <c r="I203" s="3">
        <f t="shared" si="21"/>
        <v>0</v>
      </c>
      <c r="J203" s="3">
        <f t="shared" si="22"/>
        <v>0</v>
      </c>
      <c r="K203" s="3">
        <f t="shared" si="23"/>
        <v>8</v>
      </c>
      <c r="L203">
        <v>0</v>
      </c>
      <c r="M203">
        <v>0</v>
      </c>
      <c r="N203">
        <v>2.2000000000000002</v>
      </c>
      <c r="O203" t="s">
        <v>8</v>
      </c>
      <c r="P203">
        <v>0</v>
      </c>
      <c r="Q203" t="s">
        <v>8</v>
      </c>
      <c r="R203">
        <v>2</v>
      </c>
      <c r="S203">
        <v>0</v>
      </c>
      <c r="T203" t="s">
        <v>8</v>
      </c>
      <c r="U203">
        <v>0</v>
      </c>
      <c r="V203" t="s">
        <v>8</v>
      </c>
      <c r="W203">
        <v>0</v>
      </c>
      <c r="X203" t="s">
        <v>8</v>
      </c>
      <c r="Y203" t="s">
        <v>8</v>
      </c>
      <c r="Z203" t="s">
        <v>8</v>
      </c>
      <c r="AA203" t="s">
        <v>8</v>
      </c>
      <c r="AB203" t="s">
        <v>8</v>
      </c>
      <c r="AC203" t="s">
        <v>8</v>
      </c>
    </row>
    <row r="204" spans="1:29" x14ac:dyDescent="0.25">
      <c r="A204">
        <v>193</v>
      </c>
      <c r="B204" t="s">
        <v>309</v>
      </c>
      <c r="C204" t="s">
        <v>47</v>
      </c>
      <c r="D204" s="6">
        <f t="shared" si="18"/>
        <v>0</v>
      </c>
      <c r="E204">
        <v>0.6</v>
      </c>
      <c r="F204">
        <v>3.7</v>
      </c>
      <c r="G204" s="3">
        <f t="shared" si="19"/>
        <v>0</v>
      </c>
      <c r="H204" s="3">
        <f t="shared" si="20"/>
        <v>0</v>
      </c>
      <c r="I204" s="3">
        <f t="shared" si="21"/>
        <v>0</v>
      </c>
      <c r="J204" s="3">
        <f t="shared" si="22"/>
        <v>0</v>
      </c>
      <c r="K204" s="3">
        <f t="shared" si="23"/>
        <v>6</v>
      </c>
      <c r="L204" t="s">
        <v>8</v>
      </c>
      <c r="M204" t="s">
        <v>8</v>
      </c>
      <c r="N204" t="s">
        <v>8</v>
      </c>
      <c r="O204" t="s">
        <v>8</v>
      </c>
      <c r="P204" t="s">
        <v>7</v>
      </c>
      <c r="Q204" t="s">
        <v>8</v>
      </c>
      <c r="R204" t="s">
        <v>8</v>
      </c>
      <c r="S204">
        <v>0</v>
      </c>
      <c r="T204" t="s">
        <v>8</v>
      </c>
      <c r="U204" t="s">
        <v>8</v>
      </c>
      <c r="V204" t="s">
        <v>8</v>
      </c>
      <c r="W204" t="s">
        <v>8</v>
      </c>
      <c r="X204" t="s">
        <v>8</v>
      </c>
      <c r="Y204">
        <v>0</v>
      </c>
      <c r="Z204">
        <v>2.1</v>
      </c>
      <c r="AA204">
        <v>1.6</v>
      </c>
      <c r="AB204">
        <v>0</v>
      </c>
      <c r="AC204">
        <v>0</v>
      </c>
    </row>
    <row r="205" spans="1:29" x14ac:dyDescent="0.25">
      <c r="A205">
        <v>194</v>
      </c>
      <c r="B205" t="s">
        <v>308</v>
      </c>
      <c r="C205" t="s">
        <v>24</v>
      </c>
      <c r="D205" s="6">
        <f t="shared" si="18"/>
        <v>0</v>
      </c>
      <c r="E205">
        <v>0.4</v>
      </c>
      <c r="F205">
        <v>3.3</v>
      </c>
      <c r="G205" s="3">
        <f t="shared" si="19"/>
        <v>0</v>
      </c>
      <c r="H205" s="3">
        <f t="shared" si="20"/>
        <v>0</v>
      </c>
      <c r="I205" s="3">
        <f t="shared" si="21"/>
        <v>0</v>
      </c>
      <c r="J205" s="3">
        <f t="shared" si="22"/>
        <v>0</v>
      </c>
      <c r="K205" s="3">
        <f t="shared" si="23"/>
        <v>8</v>
      </c>
      <c r="L205">
        <v>0</v>
      </c>
      <c r="M205">
        <v>0</v>
      </c>
      <c r="N205">
        <v>0</v>
      </c>
      <c r="O205" t="s">
        <v>8</v>
      </c>
      <c r="P205" t="s">
        <v>8</v>
      </c>
      <c r="Q205" t="s">
        <v>8</v>
      </c>
      <c r="R205" t="s">
        <v>8</v>
      </c>
      <c r="S205" t="s">
        <v>8</v>
      </c>
      <c r="T205" t="s">
        <v>8</v>
      </c>
      <c r="U205" t="s">
        <v>8</v>
      </c>
      <c r="V205" t="s">
        <v>8</v>
      </c>
      <c r="W205" t="s">
        <v>8</v>
      </c>
      <c r="X205">
        <v>0</v>
      </c>
      <c r="Y205" t="s">
        <v>7</v>
      </c>
      <c r="Z205">
        <v>3.3</v>
      </c>
      <c r="AA205">
        <v>0</v>
      </c>
      <c r="AB205">
        <v>0</v>
      </c>
      <c r="AC205">
        <v>0</v>
      </c>
    </row>
    <row r="206" spans="1:29" x14ac:dyDescent="0.25">
      <c r="A206">
        <v>197</v>
      </c>
      <c r="B206" t="s">
        <v>318</v>
      </c>
      <c r="C206" t="s">
        <v>47</v>
      </c>
      <c r="D206" s="6">
        <f t="shared" si="18"/>
        <v>0</v>
      </c>
      <c r="E206">
        <v>0.3</v>
      </c>
      <c r="F206">
        <v>3.1</v>
      </c>
      <c r="G206" s="3">
        <f t="shared" si="19"/>
        <v>0</v>
      </c>
      <c r="H206" s="3">
        <f t="shared" si="20"/>
        <v>0</v>
      </c>
      <c r="I206" s="3">
        <f t="shared" si="21"/>
        <v>0</v>
      </c>
      <c r="J206" s="3">
        <f t="shared" si="22"/>
        <v>0</v>
      </c>
      <c r="K206" s="3">
        <f t="shared" si="23"/>
        <v>9</v>
      </c>
      <c r="L206" t="s">
        <v>8</v>
      </c>
      <c r="M206">
        <v>0</v>
      </c>
      <c r="N206">
        <v>0</v>
      </c>
      <c r="O206">
        <v>1.3</v>
      </c>
      <c r="P206">
        <v>0</v>
      </c>
      <c r="Q206" t="s">
        <v>8</v>
      </c>
      <c r="R206" t="s">
        <v>8</v>
      </c>
      <c r="S206" t="s">
        <v>8</v>
      </c>
      <c r="T206" t="s">
        <v>8</v>
      </c>
      <c r="U206" t="s">
        <v>8</v>
      </c>
      <c r="V206" t="s">
        <v>8</v>
      </c>
      <c r="W206" t="s">
        <v>8</v>
      </c>
      <c r="X206" t="s">
        <v>8</v>
      </c>
      <c r="Y206">
        <v>3.8</v>
      </c>
      <c r="Z206">
        <v>-2</v>
      </c>
      <c r="AA206">
        <v>0</v>
      </c>
      <c r="AB206">
        <v>0</v>
      </c>
      <c r="AC206">
        <v>0</v>
      </c>
    </row>
    <row r="207" spans="1:29" x14ac:dyDescent="0.25">
      <c r="A207">
        <v>198</v>
      </c>
      <c r="B207" t="s">
        <v>310</v>
      </c>
      <c r="C207" t="s">
        <v>14</v>
      </c>
      <c r="D207" s="6">
        <f t="shared" si="18"/>
        <v>0</v>
      </c>
      <c r="E207">
        <v>0.9</v>
      </c>
      <c r="F207">
        <v>2.7</v>
      </c>
      <c r="G207" s="3">
        <f t="shared" si="19"/>
        <v>0</v>
      </c>
      <c r="H207" s="3">
        <f t="shared" si="20"/>
        <v>0</v>
      </c>
      <c r="I207" s="3">
        <f t="shared" si="21"/>
        <v>0</v>
      </c>
      <c r="J207" s="3">
        <f t="shared" si="22"/>
        <v>0</v>
      </c>
      <c r="K207" s="3">
        <f t="shared" si="23"/>
        <v>3</v>
      </c>
      <c r="L207" t="s">
        <v>8</v>
      </c>
      <c r="M207" t="s">
        <v>8</v>
      </c>
      <c r="N207" t="s">
        <v>8</v>
      </c>
      <c r="O207" t="s">
        <v>8</v>
      </c>
      <c r="P207" t="s">
        <v>8</v>
      </c>
      <c r="Q207" t="s">
        <v>8</v>
      </c>
      <c r="R207" t="s">
        <v>8</v>
      </c>
      <c r="S207" t="s">
        <v>8</v>
      </c>
      <c r="T207" t="s">
        <v>8</v>
      </c>
      <c r="U207" t="s">
        <v>8</v>
      </c>
      <c r="V207" t="s">
        <v>8</v>
      </c>
      <c r="W207" t="s">
        <v>7</v>
      </c>
      <c r="X207" t="s">
        <v>8</v>
      </c>
      <c r="Y207" t="s">
        <v>8</v>
      </c>
      <c r="Z207" t="s">
        <v>8</v>
      </c>
      <c r="AA207">
        <v>2.7</v>
      </c>
      <c r="AB207">
        <v>0</v>
      </c>
      <c r="AC207">
        <v>0</v>
      </c>
    </row>
    <row r="208" spans="1:29" x14ac:dyDescent="0.25">
      <c r="A208">
        <v>199</v>
      </c>
      <c r="B208" t="s">
        <v>316</v>
      </c>
      <c r="C208" t="s">
        <v>30</v>
      </c>
      <c r="D208" s="6">
        <f t="shared" si="18"/>
        <v>0</v>
      </c>
      <c r="E208">
        <v>0.3</v>
      </c>
      <c r="F208">
        <v>2.6</v>
      </c>
      <c r="G208" s="3">
        <f t="shared" si="19"/>
        <v>0</v>
      </c>
      <c r="H208" s="3">
        <f t="shared" si="20"/>
        <v>0</v>
      </c>
      <c r="I208" s="3">
        <f t="shared" si="21"/>
        <v>0</v>
      </c>
      <c r="J208" s="3">
        <f t="shared" si="22"/>
        <v>0</v>
      </c>
      <c r="K208" s="3">
        <f t="shared" si="23"/>
        <v>8</v>
      </c>
      <c r="L208" t="s">
        <v>8</v>
      </c>
      <c r="M208" t="s">
        <v>8</v>
      </c>
      <c r="N208" t="s">
        <v>8</v>
      </c>
      <c r="O208" t="s">
        <v>8</v>
      </c>
      <c r="P208" t="s">
        <v>8</v>
      </c>
      <c r="Q208" t="s">
        <v>8</v>
      </c>
      <c r="R208" t="s">
        <v>8</v>
      </c>
      <c r="S208">
        <v>2.6</v>
      </c>
      <c r="T208">
        <v>0</v>
      </c>
      <c r="U208" t="s">
        <v>8</v>
      </c>
      <c r="V208" t="s">
        <v>8</v>
      </c>
      <c r="W208" t="s">
        <v>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 x14ac:dyDescent="0.25">
      <c r="A209">
        <v>202</v>
      </c>
      <c r="B209" t="s">
        <v>315</v>
      </c>
      <c r="C209" t="s">
        <v>57</v>
      </c>
      <c r="D209" s="6">
        <f t="shared" si="18"/>
        <v>0</v>
      </c>
      <c r="E209">
        <v>0.2</v>
      </c>
      <c r="F209">
        <v>2.2000000000000002</v>
      </c>
      <c r="G209" s="3">
        <f t="shared" si="19"/>
        <v>0</v>
      </c>
      <c r="H209" s="3">
        <f t="shared" si="20"/>
        <v>0</v>
      </c>
      <c r="I209" s="3">
        <f t="shared" si="21"/>
        <v>0</v>
      </c>
      <c r="J209" s="3">
        <f t="shared" si="22"/>
        <v>0</v>
      </c>
      <c r="K209" s="3">
        <f t="shared" si="23"/>
        <v>10</v>
      </c>
      <c r="L209" t="s">
        <v>8</v>
      </c>
      <c r="M209">
        <v>0</v>
      </c>
      <c r="N209" t="s">
        <v>8</v>
      </c>
      <c r="O209" t="s">
        <v>8</v>
      </c>
      <c r="P209" t="s">
        <v>8</v>
      </c>
      <c r="Q209" t="s">
        <v>8</v>
      </c>
      <c r="R209" t="s">
        <v>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7</v>
      </c>
      <c r="Z209" t="s">
        <v>8</v>
      </c>
      <c r="AA209">
        <v>0</v>
      </c>
      <c r="AB209">
        <v>0</v>
      </c>
      <c r="AC209">
        <v>2.2000000000000002</v>
      </c>
    </row>
    <row r="210" spans="1:29" x14ac:dyDescent="0.25">
      <c r="A210">
        <v>204</v>
      </c>
      <c r="B210" t="s">
        <v>319</v>
      </c>
      <c r="C210" t="s">
        <v>78</v>
      </c>
      <c r="D210" s="6">
        <f t="shared" si="18"/>
        <v>0</v>
      </c>
      <c r="E210">
        <v>0.6</v>
      </c>
      <c r="F210">
        <v>1.9</v>
      </c>
      <c r="G210" s="3">
        <f t="shared" si="19"/>
        <v>0</v>
      </c>
      <c r="H210" s="3">
        <f t="shared" si="20"/>
        <v>0</v>
      </c>
      <c r="I210" s="3">
        <f t="shared" si="21"/>
        <v>0</v>
      </c>
      <c r="J210" s="3">
        <f t="shared" si="22"/>
        <v>0</v>
      </c>
      <c r="K210" s="3">
        <f t="shared" si="23"/>
        <v>3</v>
      </c>
      <c r="L210" t="s">
        <v>8</v>
      </c>
      <c r="M210" t="s">
        <v>8</v>
      </c>
      <c r="N210" t="s">
        <v>8</v>
      </c>
      <c r="O210" t="s">
        <v>8</v>
      </c>
      <c r="P210">
        <v>1.9</v>
      </c>
      <c r="Q210" t="s">
        <v>8</v>
      </c>
      <c r="R210">
        <v>0</v>
      </c>
      <c r="S210">
        <v>0</v>
      </c>
      <c r="T210" t="s">
        <v>7</v>
      </c>
      <c r="U210" t="s">
        <v>8</v>
      </c>
      <c r="V210" t="s">
        <v>8</v>
      </c>
      <c r="W210" t="s">
        <v>8</v>
      </c>
      <c r="X210" t="s">
        <v>8</v>
      </c>
      <c r="Y210" t="s">
        <v>8</v>
      </c>
      <c r="Z210" t="s">
        <v>8</v>
      </c>
      <c r="AA210" t="s">
        <v>8</v>
      </c>
      <c r="AB210" t="s">
        <v>8</v>
      </c>
      <c r="AC210" t="s">
        <v>8</v>
      </c>
    </row>
    <row r="211" spans="1:29" x14ac:dyDescent="0.25">
      <c r="A211">
        <v>206</v>
      </c>
      <c r="B211" t="s">
        <v>321</v>
      </c>
      <c r="C211" t="s">
        <v>90</v>
      </c>
      <c r="D211" s="6">
        <f t="shared" si="18"/>
        <v>0</v>
      </c>
      <c r="E211">
        <v>0.2</v>
      </c>
      <c r="F211">
        <v>1.7</v>
      </c>
      <c r="G211" s="3">
        <f t="shared" si="19"/>
        <v>0</v>
      </c>
      <c r="H211" s="3">
        <f t="shared" si="20"/>
        <v>0</v>
      </c>
      <c r="I211" s="3">
        <f t="shared" si="21"/>
        <v>0</v>
      </c>
      <c r="J211" s="3">
        <f t="shared" si="22"/>
        <v>0</v>
      </c>
      <c r="K211" s="3">
        <f t="shared" si="23"/>
        <v>8</v>
      </c>
      <c r="L211" t="s">
        <v>8</v>
      </c>
      <c r="M211" t="s">
        <v>8</v>
      </c>
      <c r="N211" t="s">
        <v>8</v>
      </c>
      <c r="O211" t="s">
        <v>8</v>
      </c>
      <c r="P211" t="s">
        <v>8</v>
      </c>
      <c r="Q211" t="s">
        <v>8</v>
      </c>
      <c r="R211" t="s">
        <v>8</v>
      </c>
      <c r="S211" t="s">
        <v>8</v>
      </c>
      <c r="T211">
        <v>1.7</v>
      </c>
      <c r="U211" t="s">
        <v>8</v>
      </c>
      <c r="V211">
        <v>0</v>
      </c>
      <c r="W211">
        <v>0</v>
      </c>
      <c r="X211" t="s">
        <v>8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5">
      <c r="A212">
        <v>207</v>
      </c>
      <c r="B212" t="s">
        <v>322</v>
      </c>
      <c r="C212" t="s">
        <v>90</v>
      </c>
      <c r="D212" s="6">
        <f t="shared" si="18"/>
        <v>0</v>
      </c>
      <c r="E212">
        <v>0.1</v>
      </c>
      <c r="F212">
        <v>1.6</v>
      </c>
      <c r="G212" s="3">
        <f t="shared" si="19"/>
        <v>0</v>
      </c>
      <c r="H212" s="3">
        <f t="shared" si="20"/>
        <v>0</v>
      </c>
      <c r="I212" s="3">
        <f t="shared" si="21"/>
        <v>0</v>
      </c>
      <c r="J212" s="3">
        <f t="shared" si="22"/>
        <v>0</v>
      </c>
      <c r="K212" s="3">
        <f t="shared" si="23"/>
        <v>11</v>
      </c>
      <c r="L212">
        <v>0</v>
      </c>
      <c r="M212" t="s">
        <v>8</v>
      </c>
      <c r="N212" t="s">
        <v>8</v>
      </c>
      <c r="O212" t="s">
        <v>8</v>
      </c>
      <c r="P212" t="s">
        <v>8</v>
      </c>
      <c r="Q212">
        <v>1.6</v>
      </c>
      <c r="R212">
        <v>0</v>
      </c>
      <c r="S212">
        <v>0</v>
      </c>
      <c r="T212">
        <v>0</v>
      </c>
      <c r="U212" t="s">
        <v>8</v>
      </c>
      <c r="V212" t="s">
        <v>8</v>
      </c>
      <c r="W212" t="s">
        <v>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25">
      <c r="A213">
        <v>207</v>
      </c>
      <c r="B213" t="s">
        <v>325</v>
      </c>
      <c r="C213" t="s">
        <v>97</v>
      </c>
      <c r="D213" s="6">
        <f t="shared" si="18"/>
        <v>0</v>
      </c>
      <c r="E213">
        <v>0.2</v>
      </c>
      <c r="F213">
        <v>1.6</v>
      </c>
      <c r="G213" s="3">
        <f t="shared" si="19"/>
        <v>0</v>
      </c>
      <c r="H213" s="3">
        <f t="shared" si="20"/>
        <v>0</v>
      </c>
      <c r="I213" s="3">
        <f t="shared" si="21"/>
        <v>0</v>
      </c>
      <c r="J213" s="3">
        <f t="shared" si="22"/>
        <v>0</v>
      </c>
      <c r="K213" s="3">
        <f t="shared" si="23"/>
        <v>9</v>
      </c>
      <c r="L213" t="s">
        <v>8</v>
      </c>
      <c r="M213">
        <v>0</v>
      </c>
      <c r="N213">
        <v>0</v>
      </c>
      <c r="O213" t="s">
        <v>8</v>
      </c>
      <c r="P213" t="s">
        <v>8</v>
      </c>
      <c r="Q213" t="s">
        <v>8</v>
      </c>
      <c r="R213" t="s">
        <v>8</v>
      </c>
      <c r="S213" t="s">
        <v>8</v>
      </c>
      <c r="T213" t="s">
        <v>8</v>
      </c>
      <c r="U213" t="s">
        <v>7</v>
      </c>
      <c r="V213" t="s">
        <v>8</v>
      </c>
      <c r="W213">
        <v>0</v>
      </c>
      <c r="X213">
        <v>0</v>
      </c>
      <c r="Y213">
        <v>1.6</v>
      </c>
      <c r="Z213">
        <v>0</v>
      </c>
      <c r="AA213">
        <v>0</v>
      </c>
      <c r="AB213">
        <v>0</v>
      </c>
      <c r="AC213">
        <v>0</v>
      </c>
    </row>
    <row r="214" spans="1:29" x14ac:dyDescent="0.25">
      <c r="A214">
        <v>210</v>
      </c>
      <c r="B214" t="s">
        <v>326</v>
      </c>
      <c r="C214" t="s">
        <v>43</v>
      </c>
      <c r="D214" s="6">
        <f t="shared" si="18"/>
        <v>0</v>
      </c>
      <c r="E214">
        <v>0.1</v>
      </c>
      <c r="F214">
        <v>1.5</v>
      </c>
      <c r="G214" s="3">
        <f t="shared" si="19"/>
        <v>0</v>
      </c>
      <c r="H214" s="3">
        <f t="shared" si="20"/>
        <v>0</v>
      </c>
      <c r="I214" s="3">
        <f t="shared" si="21"/>
        <v>0</v>
      </c>
      <c r="J214" s="3">
        <f t="shared" si="22"/>
        <v>0</v>
      </c>
      <c r="K214" s="3">
        <f t="shared" si="23"/>
        <v>11</v>
      </c>
      <c r="L214" t="s">
        <v>8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7</v>
      </c>
      <c r="S214" t="s">
        <v>8</v>
      </c>
      <c r="T214">
        <v>0</v>
      </c>
      <c r="U214" t="s">
        <v>8</v>
      </c>
      <c r="V214">
        <v>0</v>
      </c>
      <c r="W214" t="s">
        <v>8</v>
      </c>
      <c r="X214" t="s">
        <v>8</v>
      </c>
      <c r="Y214" t="s">
        <v>8</v>
      </c>
      <c r="Z214">
        <v>1.5</v>
      </c>
      <c r="AA214">
        <v>0</v>
      </c>
      <c r="AB214">
        <v>0</v>
      </c>
      <c r="AC214">
        <v>0</v>
      </c>
    </row>
    <row r="215" spans="1:29" x14ac:dyDescent="0.25">
      <c r="A215">
        <v>212</v>
      </c>
      <c r="B215" t="s">
        <v>324</v>
      </c>
      <c r="C215" t="s">
        <v>34</v>
      </c>
      <c r="D215" s="6">
        <f t="shared" si="18"/>
        <v>0</v>
      </c>
      <c r="E215">
        <v>0.2</v>
      </c>
      <c r="F215">
        <v>1.1000000000000001</v>
      </c>
      <c r="G215" s="3">
        <f t="shared" si="19"/>
        <v>0</v>
      </c>
      <c r="H215" s="3">
        <f t="shared" si="20"/>
        <v>0</v>
      </c>
      <c r="I215" s="3">
        <f t="shared" si="21"/>
        <v>0</v>
      </c>
      <c r="J215" s="3">
        <f t="shared" si="22"/>
        <v>0</v>
      </c>
      <c r="K215" s="3">
        <f t="shared" si="23"/>
        <v>5</v>
      </c>
      <c r="L215">
        <v>0</v>
      </c>
      <c r="M215" t="s">
        <v>8</v>
      </c>
      <c r="N215" t="s">
        <v>8</v>
      </c>
      <c r="O215">
        <v>0</v>
      </c>
      <c r="P215">
        <v>0</v>
      </c>
      <c r="Q215">
        <v>0</v>
      </c>
      <c r="R215" t="s">
        <v>8</v>
      </c>
      <c r="S215" t="s">
        <v>8</v>
      </c>
      <c r="T215" t="s">
        <v>8</v>
      </c>
      <c r="U215" t="s">
        <v>8</v>
      </c>
      <c r="V215" t="s">
        <v>7</v>
      </c>
      <c r="W215" t="s">
        <v>8</v>
      </c>
      <c r="X215" t="s">
        <v>8</v>
      </c>
      <c r="Y215" t="s">
        <v>8</v>
      </c>
      <c r="Z215" t="s">
        <v>8</v>
      </c>
      <c r="AA215" t="s">
        <v>8</v>
      </c>
      <c r="AB215">
        <v>1.1000000000000001</v>
      </c>
      <c r="AC215" t="s">
        <v>8</v>
      </c>
    </row>
    <row r="216" spans="1:29" x14ac:dyDescent="0.25">
      <c r="A216">
        <v>215</v>
      </c>
      <c r="B216" t="s">
        <v>332</v>
      </c>
      <c r="C216" t="s">
        <v>64</v>
      </c>
      <c r="D216" s="6">
        <f t="shared" si="18"/>
        <v>0</v>
      </c>
      <c r="E216">
        <v>0</v>
      </c>
      <c r="F216">
        <v>0</v>
      </c>
      <c r="G216" s="3">
        <f t="shared" si="19"/>
        <v>0</v>
      </c>
      <c r="H216" s="3">
        <f t="shared" si="20"/>
        <v>0</v>
      </c>
      <c r="I216" s="3">
        <f t="shared" si="21"/>
        <v>0</v>
      </c>
      <c r="J216" s="3">
        <f t="shared" si="22"/>
        <v>0</v>
      </c>
      <c r="K216" s="3">
        <f t="shared" si="23"/>
        <v>1</v>
      </c>
      <c r="L216" t="s">
        <v>8</v>
      </c>
      <c r="M216" t="s">
        <v>8</v>
      </c>
      <c r="N216" t="s">
        <v>8</v>
      </c>
      <c r="O216" t="s">
        <v>8</v>
      </c>
      <c r="P216" t="s">
        <v>8</v>
      </c>
      <c r="Q216" t="s">
        <v>8</v>
      </c>
      <c r="R216" t="s">
        <v>7</v>
      </c>
      <c r="S216" t="s">
        <v>8</v>
      </c>
      <c r="T216" t="s">
        <v>8</v>
      </c>
      <c r="U216">
        <v>0</v>
      </c>
      <c r="V216" t="s">
        <v>8</v>
      </c>
      <c r="W216" t="s">
        <v>8</v>
      </c>
      <c r="X216" t="s">
        <v>8</v>
      </c>
      <c r="Y216" t="s">
        <v>8</v>
      </c>
      <c r="Z216" t="s">
        <v>8</v>
      </c>
      <c r="AA216" t="s">
        <v>8</v>
      </c>
      <c r="AB216" t="s">
        <v>8</v>
      </c>
      <c r="AC216" t="s">
        <v>8</v>
      </c>
    </row>
    <row r="217" spans="1:29" x14ac:dyDescent="0.25">
      <c r="A217">
        <v>215</v>
      </c>
      <c r="B217" t="s">
        <v>351</v>
      </c>
      <c r="C217" t="s">
        <v>10</v>
      </c>
      <c r="D217" s="6">
        <f t="shared" si="18"/>
        <v>0</v>
      </c>
      <c r="E217">
        <v>0</v>
      </c>
      <c r="F217">
        <v>0</v>
      </c>
      <c r="G217" s="3">
        <f t="shared" si="19"/>
        <v>0</v>
      </c>
      <c r="H217" s="3">
        <f t="shared" si="20"/>
        <v>0</v>
      </c>
      <c r="I217" s="3">
        <f t="shared" si="21"/>
        <v>0</v>
      </c>
      <c r="J217" s="3">
        <f t="shared" si="22"/>
        <v>0</v>
      </c>
      <c r="K217" s="3">
        <f t="shared" si="23"/>
        <v>4</v>
      </c>
      <c r="L217">
        <v>0</v>
      </c>
      <c r="M217">
        <v>0</v>
      </c>
      <c r="N217" t="s">
        <v>8</v>
      </c>
      <c r="O217" t="s">
        <v>8</v>
      </c>
      <c r="P217" t="s">
        <v>7</v>
      </c>
      <c r="Q217" t="s">
        <v>8</v>
      </c>
      <c r="R217" t="s">
        <v>8</v>
      </c>
      <c r="S217" t="s">
        <v>8</v>
      </c>
      <c r="T217" t="s">
        <v>8</v>
      </c>
      <c r="U217" t="s">
        <v>8</v>
      </c>
      <c r="V217" t="s">
        <v>8</v>
      </c>
      <c r="W217" t="s">
        <v>8</v>
      </c>
      <c r="X217" t="s">
        <v>8</v>
      </c>
      <c r="Y217" t="s">
        <v>8</v>
      </c>
      <c r="Z217" t="s">
        <v>8</v>
      </c>
      <c r="AA217">
        <v>0</v>
      </c>
      <c r="AB217">
        <v>0</v>
      </c>
      <c r="AC217" t="s">
        <v>8</v>
      </c>
    </row>
    <row r="218" spans="1:29" x14ac:dyDescent="0.25">
      <c r="A218">
        <v>215</v>
      </c>
      <c r="B218" t="s">
        <v>341</v>
      </c>
      <c r="C218" t="s">
        <v>97</v>
      </c>
      <c r="D218" s="6">
        <f t="shared" si="18"/>
        <v>0</v>
      </c>
      <c r="E218">
        <v>0</v>
      </c>
      <c r="F218">
        <v>0</v>
      </c>
      <c r="G218" s="3">
        <f t="shared" si="19"/>
        <v>0</v>
      </c>
      <c r="H218" s="3">
        <f t="shared" si="20"/>
        <v>0</v>
      </c>
      <c r="I218" s="3">
        <f t="shared" si="21"/>
        <v>0</v>
      </c>
      <c r="J218" s="3">
        <f t="shared" si="22"/>
        <v>0</v>
      </c>
      <c r="K218" s="3">
        <f t="shared" si="23"/>
        <v>2</v>
      </c>
      <c r="L218" t="s">
        <v>8</v>
      </c>
      <c r="M218" t="s">
        <v>8</v>
      </c>
      <c r="N218" t="s">
        <v>8</v>
      </c>
      <c r="O218" t="s">
        <v>8</v>
      </c>
      <c r="P218" t="s">
        <v>8</v>
      </c>
      <c r="Q218" t="s">
        <v>8</v>
      </c>
      <c r="R218" t="s">
        <v>8</v>
      </c>
      <c r="S218" t="s">
        <v>8</v>
      </c>
      <c r="T218" t="s">
        <v>8</v>
      </c>
      <c r="U218" t="s">
        <v>7</v>
      </c>
      <c r="V218">
        <v>0</v>
      </c>
      <c r="W218" t="s">
        <v>8</v>
      </c>
      <c r="X218" t="s">
        <v>8</v>
      </c>
      <c r="Y218">
        <v>0</v>
      </c>
      <c r="Z218" t="s">
        <v>8</v>
      </c>
      <c r="AA218" t="s">
        <v>8</v>
      </c>
      <c r="AB218" t="s">
        <v>8</v>
      </c>
      <c r="AC218" t="s">
        <v>8</v>
      </c>
    </row>
    <row r="219" spans="1:29" x14ac:dyDescent="0.25">
      <c r="A219">
        <v>215</v>
      </c>
      <c r="B219" t="s">
        <v>337</v>
      </c>
      <c r="C219" t="s">
        <v>60</v>
      </c>
      <c r="D219" s="6">
        <f t="shared" si="18"/>
        <v>0</v>
      </c>
      <c r="E219">
        <v>0</v>
      </c>
      <c r="F219">
        <v>0</v>
      </c>
      <c r="G219" s="3">
        <f t="shared" si="19"/>
        <v>0</v>
      </c>
      <c r="H219" s="3">
        <f t="shared" si="20"/>
        <v>0</v>
      </c>
      <c r="I219" s="3">
        <f t="shared" si="21"/>
        <v>0</v>
      </c>
      <c r="J219" s="3">
        <f t="shared" si="22"/>
        <v>0</v>
      </c>
      <c r="K219" s="3">
        <f t="shared" si="23"/>
        <v>1</v>
      </c>
      <c r="L219" t="s">
        <v>8</v>
      </c>
      <c r="M219" t="s">
        <v>8</v>
      </c>
      <c r="N219" t="s">
        <v>8</v>
      </c>
      <c r="O219" t="s">
        <v>8</v>
      </c>
      <c r="P219" t="s">
        <v>8</v>
      </c>
      <c r="Q219" t="s">
        <v>8</v>
      </c>
      <c r="R219" t="s">
        <v>8</v>
      </c>
      <c r="S219" t="s">
        <v>8</v>
      </c>
      <c r="T219" t="s">
        <v>8</v>
      </c>
      <c r="U219" t="s">
        <v>8</v>
      </c>
      <c r="V219" t="s">
        <v>8</v>
      </c>
      <c r="W219">
        <v>0</v>
      </c>
      <c r="X219" t="s">
        <v>8</v>
      </c>
      <c r="Y219" t="s">
        <v>7</v>
      </c>
      <c r="Z219" t="s">
        <v>8</v>
      </c>
      <c r="AA219" t="s">
        <v>8</v>
      </c>
      <c r="AB219" t="s">
        <v>8</v>
      </c>
      <c r="AC219" t="s">
        <v>8</v>
      </c>
    </row>
    <row r="220" spans="1:29" x14ac:dyDescent="0.25">
      <c r="A220">
        <v>215</v>
      </c>
      <c r="B220" t="s">
        <v>330</v>
      </c>
      <c r="C220" t="s">
        <v>43</v>
      </c>
      <c r="D220" s="6">
        <f t="shared" si="18"/>
        <v>0</v>
      </c>
      <c r="E220">
        <v>0</v>
      </c>
      <c r="F220">
        <v>0</v>
      </c>
      <c r="G220" s="3">
        <f t="shared" si="19"/>
        <v>0</v>
      </c>
      <c r="H220" s="3">
        <f t="shared" si="20"/>
        <v>0</v>
      </c>
      <c r="I220" s="3">
        <f t="shared" si="21"/>
        <v>0</v>
      </c>
      <c r="J220" s="3">
        <f t="shared" si="22"/>
        <v>0</v>
      </c>
      <c r="K220" s="3">
        <f t="shared" si="23"/>
        <v>2</v>
      </c>
      <c r="L220" t="s">
        <v>8</v>
      </c>
      <c r="M220" t="s">
        <v>8</v>
      </c>
      <c r="N220" t="s">
        <v>8</v>
      </c>
      <c r="O220" t="s">
        <v>8</v>
      </c>
      <c r="P220" t="s">
        <v>8</v>
      </c>
      <c r="Q220" t="s">
        <v>8</v>
      </c>
      <c r="R220" t="s">
        <v>7</v>
      </c>
      <c r="S220" t="s">
        <v>8</v>
      </c>
      <c r="T220" t="s">
        <v>8</v>
      </c>
      <c r="U220" t="s">
        <v>8</v>
      </c>
      <c r="V220" t="s">
        <v>8</v>
      </c>
      <c r="W220" t="s">
        <v>8</v>
      </c>
      <c r="X220">
        <v>0</v>
      </c>
      <c r="Y220">
        <v>0</v>
      </c>
      <c r="Z220" t="s">
        <v>8</v>
      </c>
      <c r="AA220" t="s">
        <v>8</v>
      </c>
      <c r="AB220" t="s">
        <v>8</v>
      </c>
      <c r="AC220" t="s">
        <v>8</v>
      </c>
    </row>
    <row r="221" spans="1:29" x14ac:dyDescent="0.25">
      <c r="A221">
        <v>215</v>
      </c>
      <c r="B221" t="s">
        <v>343</v>
      </c>
      <c r="C221" t="s">
        <v>32</v>
      </c>
      <c r="D221" s="6">
        <f t="shared" si="18"/>
        <v>0</v>
      </c>
      <c r="E221">
        <v>0</v>
      </c>
      <c r="F221">
        <v>0</v>
      </c>
      <c r="G221" s="3">
        <f t="shared" si="19"/>
        <v>0</v>
      </c>
      <c r="H221" s="3">
        <f t="shared" si="20"/>
        <v>0</v>
      </c>
      <c r="I221" s="3">
        <f t="shared" si="21"/>
        <v>0</v>
      </c>
      <c r="J221" s="3">
        <f t="shared" si="22"/>
        <v>0</v>
      </c>
      <c r="K221" s="3">
        <f t="shared" si="23"/>
        <v>3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8</v>
      </c>
      <c r="R221" t="s">
        <v>8</v>
      </c>
      <c r="S221" t="s">
        <v>8</v>
      </c>
      <c r="T221" t="s">
        <v>8</v>
      </c>
      <c r="U221" t="s">
        <v>8</v>
      </c>
      <c r="V221" t="s">
        <v>8</v>
      </c>
      <c r="W221" t="s">
        <v>8</v>
      </c>
      <c r="X221">
        <v>0</v>
      </c>
      <c r="Y221" t="s">
        <v>7</v>
      </c>
      <c r="Z221" t="s">
        <v>8</v>
      </c>
      <c r="AA221">
        <v>0</v>
      </c>
      <c r="AB221">
        <v>0</v>
      </c>
      <c r="AC221" t="s">
        <v>8</v>
      </c>
    </row>
    <row r="222" spans="1:29" x14ac:dyDescent="0.25">
      <c r="A222">
        <v>215</v>
      </c>
      <c r="B222" t="s">
        <v>350</v>
      </c>
      <c r="C222" t="s">
        <v>18</v>
      </c>
      <c r="D222" s="6">
        <f t="shared" si="18"/>
        <v>0</v>
      </c>
      <c r="E222">
        <v>0</v>
      </c>
      <c r="F222">
        <v>0</v>
      </c>
      <c r="G222" s="3">
        <f t="shared" si="19"/>
        <v>0</v>
      </c>
      <c r="H222" s="3">
        <f t="shared" si="20"/>
        <v>0</v>
      </c>
      <c r="I222" s="3">
        <f t="shared" si="21"/>
        <v>0</v>
      </c>
      <c r="J222" s="3">
        <f t="shared" si="22"/>
        <v>0</v>
      </c>
      <c r="K222" s="3">
        <f t="shared" si="23"/>
        <v>16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7</v>
      </c>
      <c r="R222">
        <v>0</v>
      </c>
      <c r="S222" t="s">
        <v>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5">
      <c r="A223">
        <v>215</v>
      </c>
      <c r="B223" t="s">
        <v>335</v>
      </c>
      <c r="C223" t="s">
        <v>24</v>
      </c>
      <c r="D223" s="6">
        <f t="shared" si="18"/>
        <v>0</v>
      </c>
      <c r="E223">
        <v>0</v>
      </c>
      <c r="F223">
        <v>0</v>
      </c>
      <c r="G223" s="3">
        <f t="shared" si="19"/>
        <v>0</v>
      </c>
      <c r="H223" s="3">
        <f t="shared" si="20"/>
        <v>0</v>
      </c>
      <c r="I223" s="3">
        <f t="shared" si="21"/>
        <v>0</v>
      </c>
      <c r="J223" s="3">
        <f t="shared" si="22"/>
        <v>0</v>
      </c>
      <c r="K223" s="3">
        <f t="shared" si="23"/>
        <v>1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  <c r="Q223" t="s">
        <v>8</v>
      </c>
      <c r="R223" t="s">
        <v>8</v>
      </c>
      <c r="S223" t="s">
        <v>8</v>
      </c>
      <c r="T223" t="s">
        <v>8</v>
      </c>
      <c r="U223" t="s">
        <v>8</v>
      </c>
      <c r="V223" t="s">
        <v>8</v>
      </c>
      <c r="W223" t="s">
        <v>8</v>
      </c>
      <c r="X223">
        <v>0</v>
      </c>
      <c r="Y223" t="s">
        <v>7</v>
      </c>
      <c r="Z223" t="s">
        <v>8</v>
      </c>
      <c r="AA223" t="s">
        <v>8</v>
      </c>
      <c r="AB223" t="s">
        <v>8</v>
      </c>
      <c r="AC223" t="s">
        <v>8</v>
      </c>
    </row>
    <row r="224" spans="1:29" x14ac:dyDescent="0.25">
      <c r="A224">
        <v>215</v>
      </c>
      <c r="B224" t="s">
        <v>352</v>
      </c>
      <c r="C224" t="s">
        <v>90</v>
      </c>
      <c r="D224" s="6">
        <f t="shared" si="18"/>
        <v>0</v>
      </c>
      <c r="E224">
        <v>0</v>
      </c>
      <c r="F224">
        <v>0</v>
      </c>
      <c r="G224" s="3">
        <f t="shared" si="19"/>
        <v>0</v>
      </c>
      <c r="H224" s="3">
        <f t="shared" si="20"/>
        <v>0</v>
      </c>
      <c r="I224" s="3">
        <f t="shared" si="21"/>
        <v>0</v>
      </c>
      <c r="J224" s="3">
        <f t="shared" si="22"/>
        <v>0</v>
      </c>
      <c r="K224" s="3">
        <f t="shared" si="23"/>
        <v>5</v>
      </c>
      <c r="L224">
        <v>0</v>
      </c>
      <c r="M224">
        <v>0</v>
      </c>
      <c r="N224">
        <v>0</v>
      </c>
      <c r="O224">
        <v>0</v>
      </c>
      <c r="P224" t="s">
        <v>8</v>
      </c>
      <c r="Q224">
        <v>0</v>
      </c>
      <c r="R224" t="s">
        <v>8</v>
      </c>
      <c r="S224" t="s">
        <v>8</v>
      </c>
      <c r="T224" t="s">
        <v>8</v>
      </c>
      <c r="U224" t="s">
        <v>8</v>
      </c>
      <c r="V224" t="s">
        <v>8</v>
      </c>
      <c r="W224" t="s">
        <v>8</v>
      </c>
      <c r="X224" t="s">
        <v>8</v>
      </c>
      <c r="Y224" t="s">
        <v>8</v>
      </c>
      <c r="Z224" t="s">
        <v>8</v>
      </c>
      <c r="AA224" t="s">
        <v>8</v>
      </c>
      <c r="AB224" t="s">
        <v>8</v>
      </c>
      <c r="AC224" t="s">
        <v>8</v>
      </c>
    </row>
    <row r="225" spans="1:29" x14ac:dyDescent="0.25">
      <c r="A225">
        <v>215</v>
      </c>
      <c r="B225" t="s">
        <v>336</v>
      </c>
      <c r="C225" t="s">
        <v>66</v>
      </c>
      <c r="D225" s="6">
        <f t="shared" si="18"/>
        <v>0</v>
      </c>
      <c r="E225">
        <v>0</v>
      </c>
      <c r="F225">
        <v>0</v>
      </c>
      <c r="G225" s="3">
        <f t="shared" si="19"/>
        <v>0</v>
      </c>
      <c r="H225" s="3">
        <f t="shared" si="20"/>
        <v>0</v>
      </c>
      <c r="I225" s="3">
        <f t="shared" si="21"/>
        <v>0</v>
      </c>
      <c r="J225" s="3">
        <f t="shared" si="22"/>
        <v>0</v>
      </c>
      <c r="K225" s="3">
        <f t="shared" si="23"/>
        <v>1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8</v>
      </c>
      <c r="R225" t="s">
        <v>8</v>
      </c>
      <c r="S225" t="s">
        <v>8</v>
      </c>
      <c r="T225" t="s">
        <v>8</v>
      </c>
      <c r="U225" t="s">
        <v>8</v>
      </c>
      <c r="V225" t="s">
        <v>8</v>
      </c>
      <c r="W225" t="s">
        <v>7</v>
      </c>
      <c r="X225" t="s">
        <v>8</v>
      </c>
      <c r="Y225">
        <v>0</v>
      </c>
      <c r="Z225" t="s">
        <v>8</v>
      </c>
      <c r="AA225" t="s">
        <v>8</v>
      </c>
      <c r="AB225" t="s">
        <v>8</v>
      </c>
      <c r="AC225" t="s">
        <v>8</v>
      </c>
    </row>
    <row r="226" spans="1:29" x14ac:dyDescent="0.25">
      <c r="A226">
        <v>215</v>
      </c>
      <c r="B226" t="s">
        <v>349</v>
      </c>
      <c r="C226" t="s">
        <v>32</v>
      </c>
      <c r="D226" s="6">
        <f t="shared" si="18"/>
        <v>0</v>
      </c>
      <c r="E226">
        <v>0</v>
      </c>
      <c r="F226">
        <v>0</v>
      </c>
      <c r="G226" s="3">
        <f t="shared" si="19"/>
        <v>0</v>
      </c>
      <c r="H226" s="3">
        <f t="shared" si="20"/>
        <v>0</v>
      </c>
      <c r="I226" s="3">
        <f t="shared" si="21"/>
        <v>0</v>
      </c>
      <c r="J226" s="3">
        <f t="shared" si="22"/>
        <v>0</v>
      </c>
      <c r="K226" s="3">
        <f t="shared" si="23"/>
        <v>8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8</v>
      </c>
      <c r="R226">
        <v>0</v>
      </c>
      <c r="S226" t="s">
        <v>8</v>
      </c>
      <c r="T226" t="s">
        <v>8</v>
      </c>
      <c r="U226" t="s">
        <v>8</v>
      </c>
      <c r="V226" t="s">
        <v>8</v>
      </c>
      <c r="W226" t="s">
        <v>8</v>
      </c>
      <c r="X226" t="s">
        <v>8</v>
      </c>
      <c r="Y226" t="s">
        <v>7</v>
      </c>
      <c r="Z226" t="s">
        <v>8</v>
      </c>
      <c r="AA226">
        <v>0</v>
      </c>
      <c r="AB226">
        <v>0</v>
      </c>
      <c r="AC226" t="s">
        <v>8</v>
      </c>
    </row>
    <row r="227" spans="1:29" x14ac:dyDescent="0.25">
      <c r="A227">
        <v>215</v>
      </c>
      <c r="B227" t="s">
        <v>339</v>
      </c>
      <c r="C227" t="s">
        <v>40</v>
      </c>
      <c r="D227" s="6">
        <f t="shared" si="18"/>
        <v>0</v>
      </c>
      <c r="E227">
        <v>0</v>
      </c>
      <c r="F227">
        <v>0</v>
      </c>
      <c r="G227" s="3">
        <f t="shared" si="19"/>
        <v>0</v>
      </c>
      <c r="H227" s="3">
        <f t="shared" si="20"/>
        <v>0</v>
      </c>
      <c r="I227" s="3">
        <f t="shared" si="21"/>
        <v>0</v>
      </c>
      <c r="J227" s="3">
        <f t="shared" si="22"/>
        <v>0</v>
      </c>
      <c r="K227" s="3">
        <f t="shared" si="23"/>
        <v>1</v>
      </c>
      <c r="L227" t="s">
        <v>8</v>
      </c>
      <c r="M227" t="s">
        <v>8</v>
      </c>
      <c r="N227" t="s">
        <v>8</v>
      </c>
      <c r="O227" t="s">
        <v>8</v>
      </c>
      <c r="P227" t="s">
        <v>8</v>
      </c>
      <c r="Q227" t="s">
        <v>8</v>
      </c>
      <c r="R227" t="s">
        <v>8</v>
      </c>
      <c r="S227" t="s">
        <v>8</v>
      </c>
      <c r="T227" t="s">
        <v>8</v>
      </c>
      <c r="U227" t="s">
        <v>8</v>
      </c>
      <c r="V227" t="s">
        <v>8</v>
      </c>
      <c r="W227" t="s">
        <v>7</v>
      </c>
      <c r="X227" t="s">
        <v>8</v>
      </c>
      <c r="Y227" t="s">
        <v>8</v>
      </c>
      <c r="Z227">
        <v>0</v>
      </c>
      <c r="AA227" t="s">
        <v>8</v>
      </c>
      <c r="AB227" t="s">
        <v>8</v>
      </c>
      <c r="AC227" t="s">
        <v>8</v>
      </c>
    </row>
    <row r="228" spans="1:29" x14ac:dyDescent="0.25">
      <c r="A228">
        <v>215</v>
      </c>
      <c r="B228" t="s">
        <v>334</v>
      </c>
      <c r="C228" t="s">
        <v>55</v>
      </c>
      <c r="D228" s="6">
        <f t="shared" si="18"/>
        <v>0</v>
      </c>
      <c r="E228">
        <v>0</v>
      </c>
      <c r="F228">
        <v>0</v>
      </c>
      <c r="G228" s="3">
        <f t="shared" si="19"/>
        <v>0</v>
      </c>
      <c r="H228" s="3">
        <f t="shared" si="20"/>
        <v>0</v>
      </c>
      <c r="I228" s="3">
        <f t="shared" si="21"/>
        <v>0</v>
      </c>
      <c r="J228" s="3">
        <f t="shared" si="22"/>
        <v>0</v>
      </c>
      <c r="K228" s="3">
        <f t="shared" si="23"/>
        <v>14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t="s">
        <v>7</v>
      </c>
      <c r="W228">
        <v>0</v>
      </c>
      <c r="X228" t="s">
        <v>8</v>
      </c>
      <c r="Y228">
        <v>0</v>
      </c>
      <c r="Z228">
        <v>0</v>
      </c>
      <c r="AA228" t="s">
        <v>8</v>
      </c>
      <c r="AB228" t="s">
        <v>8</v>
      </c>
      <c r="AC228">
        <v>0</v>
      </c>
    </row>
    <row r="229" spans="1:29" x14ac:dyDescent="0.25">
      <c r="A229">
        <v>215</v>
      </c>
      <c r="B229" t="s">
        <v>348</v>
      </c>
      <c r="C229" t="s">
        <v>60</v>
      </c>
      <c r="D229" s="6">
        <f t="shared" si="18"/>
        <v>0</v>
      </c>
      <c r="E229">
        <v>0</v>
      </c>
      <c r="F229">
        <v>0</v>
      </c>
      <c r="G229" s="3">
        <f t="shared" si="19"/>
        <v>0</v>
      </c>
      <c r="H229" s="3">
        <f t="shared" si="20"/>
        <v>0</v>
      </c>
      <c r="I229" s="3">
        <f t="shared" si="21"/>
        <v>0</v>
      </c>
      <c r="J229" s="3">
        <f t="shared" si="22"/>
        <v>0</v>
      </c>
      <c r="K229" s="3">
        <f t="shared" si="23"/>
        <v>5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8</v>
      </c>
      <c r="R229" t="s">
        <v>8</v>
      </c>
      <c r="S229" t="s">
        <v>8</v>
      </c>
      <c r="T229" t="s">
        <v>8</v>
      </c>
      <c r="U229" t="s">
        <v>8</v>
      </c>
      <c r="V229" t="s">
        <v>8</v>
      </c>
      <c r="W229" t="s">
        <v>8</v>
      </c>
      <c r="X229" t="s">
        <v>8</v>
      </c>
      <c r="Y229" t="s">
        <v>7</v>
      </c>
      <c r="Z229" t="s">
        <v>8</v>
      </c>
      <c r="AA229" t="s">
        <v>8</v>
      </c>
      <c r="AB229" t="s">
        <v>8</v>
      </c>
      <c r="AC229" t="s">
        <v>8</v>
      </c>
    </row>
    <row r="230" spans="1:29" x14ac:dyDescent="0.25">
      <c r="A230">
        <v>215</v>
      </c>
      <c r="B230" t="s">
        <v>340</v>
      </c>
      <c r="C230" t="s">
        <v>90</v>
      </c>
      <c r="D230" s="6">
        <f t="shared" si="18"/>
        <v>0</v>
      </c>
      <c r="E230">
        <v>0</v>
      </c>
      <c r="F230">
        <v>0</v>
      </c>
      <c r="G230" s="3">
        <f t="shared" si="19"/>
        <v>0</v>
      </c>
      <c r="H230" s="3">
        <f t="shared" si="20"/>
        <v>0</v>
      </c>
      <c r="I230" s="3">
        <f t="shared" si="21"/>
        <v>0</v>
      </c>
      <c r="J230" s="3">
        <f t="shared" si="22"/>
        <v>0</v>
      </c>
      <c r="K230" s="3">
        <f t="shared" si="23"/>
        <v>3</v>
      </c>
      <c r="L230" t="s">
        <v>8</v>
      </c>
      <c r="M230" t="s">
        <v>8</v>
      </c>
      <c r="N230" t="s">
        <v>8</v>
      </c>
      <c r="O230" t="s">
        <v>8</v>
      </c>
      <c r="P230" t="s">
        <v>8</v>
      </c>
      <c r="Q230" t="s">
        <v>8</v>
      </c>
      <c r="R230" t="s">
        <v>8</v>
      </c>
      <c r="S230" t="s">
        <v>8</v>
      </c>
      <c r="T230" t="s">
        <v>8</v>
      </c>
      <c r="U230" t="s">
        <v>8</v>
      </c>
      <c r="V230" t="s">
        <v>8</v>
      </c>
      <c r="W230" t="s">
        <v>8</v>
      </c>
      <c r="X230" t="s">
        <v>8</v>
      </c>
      <c r="Y230" t="s">
        <v>8</v>
      </c>
      <c r="Z230" t="s">
        <v>8</v>
      </c>
      <c r="AA230">
        <v>0</v>
      </c>
      <c r="AB230">
        <v>0</v>
      </c>
      <c r="AC230">
        <v>0</v>
      </c>
    </row>
    <row r="231" spans="1:29" x14ac:dyDescent="0.25">
      <c r="A231">
        <v>215</v>
      </c>
      <c r="B231" t="s">
        <v>342</v>
      </c>
      <c r="C231" t="s">
        <v>69</v>
      </c>
      <c r="D231" s="6">
        <f t="shared" si="18"/>
        <v>0</v>
      </c>
      <c r="E231">
        <v>0</v>
      </c>
      <c r="F231">
        <v>0</v>
      </c>
      <c r="G231" s="3">
        <f t="shared" si="19"/>
        <v>0</v>
      </c>
      <c r="H231" s="3">
        <f t="shared" si="20"/>
        <v>0</v>
      </c>
      <c r="I231" s="3">
        <f t="shared" si="21"/>
        <v>0</v>
      </c>
      <c r="J231" s="3">
        <f t="shared" si="22"/>
        <v>0</v>
      </c>
      <c r="K231" s="3">
        <f t="shared" si="23"/>
        <v>1</v>
      </c>
      <c r="L231" t="s">
        <v>8</v>
      </c>
      <c r="M231" t="s">
        <v>8</v>
      </c>
      <c r="N231" t="s">
        <v>8</v>
      </c>
      <c r="O231" t="s">
        <v>8</v>
      </c>
      <c r="P231" t="s">
        <v>8</v>
      </c>
      <c r="Q231" t="s">
        <v>8</v>
      </c>
      <c r="R231" t="s">
        <v>8</v>
      </c>
      <c r="S231" t="s">
        <v>8</v>
      </c>
      <c r="T231" t="s">
        <v>8</v>
      </c>
      <c r="U231" t="s">
        <v>7</v>
      </c>
      <c r="V231" t="s">
        <v>8</v>
      </c>
      <c r="W231" t="s">
        <v>8</v>
      </c>
      <c r="X231" t="s">
        <v>8</v>
      </c>
      <c r="Y231" t="s">
        <v>8</v>
      </c>
      <c r="Z231" t="s">
        <v>8</v>
      </c>
      <c r="AA231" t="s">
        <v>8</v>
      </c>
      <c r="AB231" t="s">
        <v>8</v>
      </c>
      <c r="AC231">
        <v>0</v>
      </c>
    </row>
    <row r="232" spans="1:29" x14ac:dyDescent="0.25">
      <c r="A232">
        <v>215</v>
      </c>
      <c r="B232" t="s">
        <v>347</v>
      </c>
      <c r="C232" t="s">
        <v>53</v>
      </c>
      <c r="D232" s="6">
        <f t="shared" si="18"/>
        <v>0</v>
      </c>
      <c r="E232">
        <v>0</v>
      </c>
      <c r="F232">
        <v>0</v>
      </c>
      <c r="G232" s="3">
        <f t="shared" si="19"/>
        <v>0</v>
      </c>
      <c r="H232" s="3">
        <f t="shared" si="20"/>
        <v>0</v>
      </c>
      <c r="I232" s="3">
        <f t="shared" si="21"/>
        <v>0</v>
      </c>
      <c r="J232" s="3">
        <f t="shared" si="22"/>
        <v>0</v>
      </c>
      <c r="K232" s="3">
        <f t="shared" si="23"/>
        <v>12</v>
      </c>
      <c r="L232">
        <v>0</v>
      </c>
      <c r="M232" t="s">
        <v>8</v>
      </c>
      <c r="N232">
        <v>0</v>
      </c>
      <c r="O232">
        <v>0</v>
      </c>
      <c r="P232" t="s">
        <v>8</v>
      </c>
      <c r="Q232" t="s">
        <v>8</v>
      </c>
      <c r="R232">
        <v>0</v>
      </c>
      <c r="S232">
        <v>0</v>
      </c>
      <c r="T232">
        <v>0</v>
      </c>
      <c r="U232" t="s">
        <v>7</v>
      </c>
      <c r="V232" t="s">
        <v>8</v>
      </c>
      <c r="W232">
        <v>0</v>
      </c>
      <c r="X232" t="s">
        <v>8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25">
      <c r="A233">
        <v>215</v>
      </c>
      <c r="B233" t="s">
        <v>331</v>
      </c>
      <c r="C233" t="s">
        <v>90</v>
      </c>
      <c r="D233" s="6">
        <f t="shared" si="18"/>
        <v>0</v>
      </c>
      <c r="E233">
        <v>0</v>
      </c>
      <c r="F233">
        <v>0</v>
      </c>
      <c r="G233" s="3">
        <f t="shared" si="19"/>
        <v>0</v>
      </c>
      <c r="H233" s="3">
        <f t="shared" si="20"/>
        <v>0</v>
      </c>
      <c r="I233" s="3">
        <f t="shared" si="21"/>
        <v>0</v>
      </c>
      <c r="J233" s="3">
        <f t="shared" si="22"/>
        <v>0</v>
      </c>
      <c r="K233" s="3">
        <f t="shared" si="23"/>
        <v>2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  <c r="Q233" t="s">
        <v>8</v>
      </c>
      <c r="R233" t="s">
        <v>8</v>
      </c>
      <c r="S233" t="s">
        <v>8</v>
      </c>
      <c r="T233">
        <v>0</v>
      </c>
      <c r="U233">
        <v>0</v>
      </c>
      <c r="V233" t="s">
        <v>8</v>
      </c>
      <c r="W233" t="s">
        <v>8</v>
      </c>
      <c r="X233" t="s">
        <v>8</v>
      </c>
      <c r="Y233" t="s">
        <v>8</v>
      </c>
      <c r="Z233" t="s">
        <v>8</v>
      </c>
      <c r="AA233" t="s">
        <v>8</v>
      </c>
      <c r="AB233" t="s">
        <v>8</v>
      </c>
      <c r="AC233" t="s">
        <v>8</v>
      </c>
    </row>
    <row r="234" spans="1:29" x14ac:dyDescent="0.25">
      <c r="A234">
        <v>215</v>
      </c>
      <c r="B234" t="s">
        <v>355</v>
      </c>
      <c r="C234" t="s">
        <v>90</v>
      </c>
      <c r="D234" s="6">
        <f t="shared" si="18"/>
        <v>0</v>
      </c>
      <c r="E234">
        <v>0</v>
      </c>
      <c r="F234">
        <v>0</v>
      </c>
      <c r="G234" s="3">
        <f t="shared" si="19"/>
        <v>0</v>
      </c>
      <c r="H234" s="3">
        <f t="shared" si="20"/>
        <v>0</v>
      </c>
      <c r="I234" s="3">
        <f t="shared" si="21"/>
        <v>0</v>
      </c>
      <c r="J234" s="3">
        <f t="shared" si="22"/>
        <v>0</v>
      </c>
      <c r="K234" s="3">
        <f t="shared" si="23"/>
        <v>1</v>
      </c>
      <c r="L234" t="s">
        <v>8</v>
      </c>
      <c r="M234">
        <v>0</v>
      </c>
      <c r="N234" t="s">
        <v>8</v>
      </c>
      <c r="O234" t="s">
        <v>8</v>
      </c>
      <c r="P234" t="s">
        <v>8</v>
      </c>
      <c r="Q234" t="s">
        <v>8</v>
      </c>
      <c r="R234" t="s">
        <v>8</v>
      </c>
      <c r="S234" t="s">
        <v>8</v>
      </c>
      <c r="T234" t="s">
        <v>8</v>
      </c>
      <c r="U234" t="s">
        <v>8</v>
      </c>
      <c r="V234" t="s">
        <v>8</v>
      </c>
      <c r="W234" t="s">
        <v>8</v>
      </c>
      <c r="X234" t="s">
        <v>8</v>
      </c>
      <c r="Y234" t="s">
        <v>8</v>
      </c>
      <c r="Z234" t="s">
        <v>8</v>
      </c>
      <c r="AA234" t="s">
        <v>8</v>
      </c>
      <c r="AB234" t="s">
        <v>8</v>
      </c>
      <c r="AC234" t="s">
        <v>8</v>
      </c>
    </row>
    <row r="235" spans="1:29" x14ac:dyDescent="0.25">
      <c r="A235">
        <v>215</v>
      </c>
      <c r="B235" t="s">
        <v>353</v>
      </c>
      <c r="C235" t="s">
        <v>62</v>
      </c>
      <c r="D235" s="6">
        <f t="shared" si="18"/>
        <v>0</v>
      </c>
      <c r="E235">
        <v>0</v>
      </c>
      <c r="F235">
        <v>0</v>
      </c>
      <c r="G235" s="3">
        <f t="shared" si="19"/>
        <v>0</v>
      </c>
      <c r="H235" s="3">
        <f t="shared" si="20"/>
        <v>0</v>
      </c>
      <c r="I235" s="3">
        <f t="shared" si="21"/>
        <v>0</v>
      </c>
      <c r="J235" s="3">
        <f t="shared" si="22"/>
        <v>0</v>
      </c>
      <c r="K235" s="3">
        <f t="shared" si="23"/>
        <v>6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7</v>
      </c>
      <c r="R235">
        <v>0</v>
      </c>
      <c r="S235" t="s">
        <v>8</v>
      </c>
      <c r="T235" t="s">
        <v>8</v>
      </c>
      <c r="U235" t="s">
        <v>8</v>
      </c>
      <c r="V235" t="s">
        <v>8</v>
      </c>
      <c r="W235" t="s">
        <v>8</v>
      </c>
      <c r="X235" t="s">
        <v>8</v>
      </c>
      <c r="Y235" t="s">
        <v>8</v>
      </c>
      <c r="Z235" t="s">
        <v>8</v>
      </c>
      <c r="AA235" t="s">
        <v>8</v>
      </c>
      <c r="AB235" t="s">
        <v>8</v>
      </c>
      <c r="AC235" t="s">
        <v>8</v>
      </c>
    </row>
    <row r="236" spans="1:29" x14ac:dyDescent="0.25">
      <c r="A236">
        <v>215</v>
      </c>
      <c r="B236" t="s">
        <v>358</v>
      </c>
      <c r="C236" t="s">
        <v>76</v>
      </c>
      <c r="D236" s="6">
        <f t="shared" si="18"/>
        <v>0</v>
      </c>
      <c r="E236">
        <v>0</v>
      </c>
      <c r="F236">
        <v>0</v>
      </c>
      <c r="G236" s="3">
        <f t="shared" si="19"/>
        <v>0</v>
      </c>
      <c r="H236" s="3">
        <f t="shared" si="20"/>
        <v>0</v>
      </c>
      <c r="I236" s="3">
        <f t="shared" si="21"/>
        <v>0</v>
      </c>
      <c r="J236" s="3">
        <f t="shared" si="22"/>
        <v>0</v>
      </c>
      <c r="K236" s="3">
        <f t="shared" si="23"/>
        <v>2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t="s">
        <v>8</v>
      </c>
      <c r="R236" t="s">
        <v>8</v>
      </c>
      <c r="S236" t="s">
        <v>8</v>
      </c>
      <c r="T236">
        <v>0</v>
      </c>
      <c r="U236">
        <v>0</v>
      </c>
      <c r="V236" t="s">
        <v>8</v>
      </c>
      <c r="W236" t="s">
        <v>8</v>
      </c>
      <c r="X236" t="s">
        <v>8</v>
      </c>
      <c r="Y236" t="s">
        <v>8</v>
      </c>
      <c r="Z236" t="s">
        <v>8</v>
      </c>
      <c r="AA236" t="s">
        <v>8</v>
      </c>
      <c r="AB236" t="s">
        <v>8</v>
      </c>
      <c r="AC236" t="s">
        <v>8</v>
      </c>
    </row>
    <row r="237" spans="1:29" x14ac:dyDescent="0.25">
      <c r="A237">
        <v>215</v>
      </c>
      <c r="B237" t="s">
        <v>344</v>
      </c>
      <c r="C237" t="s">
        <v>22</v>
      </c>
      <c r="D237" s="6">
        <f t="shared" si="18"/>
        <v>0</v>
      </c>
      <c r="E237">
        <v>0</v>
      </c>
      <c r="F237">
        <v>0</v>
      </c>
      <c r="G237" s="3">
        <f t="shared" si="19"/>
        <v>0</v>
      </c>
      <c r="H237" s="3">
        <f t="shared" si="20"/>
        <v>0</v>
      </c>
      <c r="I237" s="3">
        <f t="shared" si="21"/>
        <v>0</v>
      </c>
      <c r="J237" s="3">
        <f t="shared" si="22"/>
        <v>0</v>
      </c>
      <c r="K237" s="3">
        <f t="shared" si="23"/>
        <v>1</v>
      </c>
      <c r="L237" t="s">
        <v>8</v>
      </c>
      <c r="M237" t="s">
        <v>8</v>
      </c>
      <c r="N237" t="s">
        <v>8</v>
      </c>
      <c r="O237" t="s">
        <v>8</v>
      </c>
      <c r="P237">
        <v>0</v>
      </c>
      <c r="Q237" t="s">
        <v>8</v>
      </c>
      <c r="R237" t="s">
        <v>8</v>
      </c>
      <c r="S237" t="s">
        <v>8</v>
      </c>
      <c r="T237" t="s">
        <v>8</v>
      </c>
      <c r="U237" t="s">
        <v>8</v>
      </c>
      <c r="V237" t="s">
        <v>8</v>
      </c>
      <c r="W237" t="s">
        <v>7</v>
      </c>
      <c r="X237" t="s">
        <v>8</v>
      </c>
      <c r="Y237" t="s">
        <v>8</v>
      </c>
      <c r="Z237" t="s">
        <v>8</v>
      </c>
      <c r="AA237" t="s">
        <v>8</v>
      </c>
      <c r="AB237" t="s">
        <v>8</v>
      </c>
      <c r="AC237" t="s">
        <v>8</v>
      </c>
    </row>
    <row r="238" spans="1:29" x14ac:dyDescent="0.25">
      <c r="A238">
        <v>215</v>
      </c>
      <c r="B238" t="s">
        <v>362</v>
      </c>
      <c r="C238" t="s">
        <v>28</v>
      </c>
      <c r="D238" s="6">
        <f t="shared" si="18"/>
        <v>0</v>
      </c>
      <c r="E238">
        <v>0</v>
      </c>
      <c r="F238">
        <v>0</v>
      </c>
      <c r="G238" s="3">
        <f t="shared" si="19"/>
        <v>0</v>
      </c>
      <c r="H238" s="3">
        <f t="shared" si="20"/>
        <v>0</v>
      </c>
      <c r="I238" s="3">
        <f t="shared" si="21"/>
        <v>0</v>
      </c>
      <c r="J238" s="3">
        <f t="shared" si="22"/>
        <v>0</v>
      </c>
      <c r="K238" s="3">
        <f t="shared" si="23"/>
        <v>2</v>
      </c>
      <c r="L238" t="s">
        <v>8</v>
      </c>
      <c r="M238" t="s">
        <v>8</v>
      </c>
      <c r="N238" t="s">
        <v>8</v>
      </c>
      <c r="O238" t="s">
        <v>8</v>
      </c>
      <c r="P238" t="s">
        <v>8</v>
      </c>
      <c r="Q238">
        <v>0</v>
      </c>
      <c r="R238" t="s">
        <v>8</v>
      </c>
      <c r="S238" t="s">
        <v>8</v>
      </c>
      <c r="T238" t="s">
        <v>8</v>
      </c>
      <c r="U238" t="s">
        <v>8</v>
      </c>
      <c r="V238" t="s">
        <v>7</v>
      </c>
      <c r="W238" t="s">
        <v>8</v>
      </c>
      <c r="X238" t="s">
        <v>8</v>
      </c>
      <c r="Y238" t="s">
        <v>8</v>
      </c>
      <c r="Z238" t="s">
        <v>8</v>
      </c>
      <c r="AA238" t="s">
        <v>8</v>
      </c>
      <c r="AB238" t="s">
        <v>8</v>
      </c>
      <c r="AC238">
        <v>0</v>
      </c>
    </row>
    <row r="239" spans="1:29" x14ac:dyDescent="0.25">
      <c r="A239">
        <v>215</v>
      </c>
      <c r="B239" t="s">
        <v>363</v>
      </c>
      <c r="C239" t="s">
        <v>90</v>
      </c>
      <c r="D239" s="6">
        <f t="shared" si="18"/>
        <v>0</v>
      </c>
      <c r="E239">
        <v>0</v>
      </c>
      <c r="F239">
        <v>0</v>
      </c>
      <c r="G239" s="3">
        <f t="shared" si="19"/>
        <v>0</v>
      </c>
      <c r="H239" s="3">
        <f t="shared" si="20"/>
        <v>0</v>
      </c>
      <c r="I239" s="3">
        <f t="shared" si="21"/>
        <v>0</v>
      </c>
      <c r="J239" s="3">
        <f t="shared" si="22"/>
        <v>0</v>
      </c>
      <c r="K239" s="3">
        <f t="shared" si="23"/>
        <v>3</v>
      </c>
      <c r="L239" t="s">
        <v>8</v>
      </c>
      <c r="M239" t="s">
        <v>8</v>
      </c>
      <c r="N239" t="s">
        <v>8</v>
      </c>
      <c r="O239" t="s">
        <v>8</v>
      </c>
      <c r="P239" t="s">
        <v>8</v>
      </c>
      <c r="Q239">
        <v>0</v>
      </c>
      <c r="R239">
        <v>0</v>
      </c>
      <c r="S239">
        <v>0</v>
      </c>
      <c r="T239" t="s">
        <v>8</v>
      </c>
      <c r="U239" t="s">
        <v>8</v>
      </c>
      <c r="V239" t="s">
        <v>8</v>
      </c>
      <c r="W239" t="s">
        <v>8</v>
      </c>
      <c r="X239" t="s">
        <v>8</v>
      </c>
      <c r="Y239" t="s">
        <v>8</v>
      </c>
      <c r="Z239" t="s">
        <v>8</v>
      </c>
      <c r="AA239" t="s">
        <v>8</v>
      </c>
      <c r="AB239" t="s">
        <v>8</v>
      </c>
      <c r="AC239" t="s">
        <v>8</v>
      </c>
    </row>
    <row r="240" spans="1:29" x14ac:dyDescent="0.25">
      <c r="A240">
        <v>215</v>
      </c>
      <c r="B240" t="s">
        <v>361</v>
      </c>
      <c r="C240" t="s">
        <v>34</v>
      </c>
      <c r="D240" s="6">
        <f t="shared" si="18"/>
        <v>0</v>
      </c>
      <c r="E240">
        <v>0</v>
      </c>
      <c r="F240">
        <v>0</v>
      </c>
      <c r="G240" s="3">
        <f t="shared" si="19"/>
        <v>0</v>
      </c>
      <c r="H240" s="3">
        <f t="shared" si="20"/>
        <v>0</v>
      </c>
      <c r="I240" s="3">
        <f t="shared" si="21"/>
        <v>0</v>
      </c>
      <c r="J240" s="3">
        <f t="shared" si="22"/>
        <v>0</v>
      </c>
      <c r="K240" s="3">
        <f t="shared" si="23"/>
        <v>1</v>
      </c>
      <c r="L240" t="s">
        <v>8</v>
      </c>
      <c r="M240" t="s">
        <v>8</v>
      </c>
      <c r="N240" t="s">
        <v>8</v>
      </c>
      <c r="O240" t="s">
        <v>8</v>
      </c>
      <c r="P240">
        <v>0</v>
      </c>
      <c r="Q240" t="s">
        <v>8</v>
      </c>
      <c r="R240" t="s">
        <v>8</v>
      </c>
      <c r="S240" t="s">
        <v>8</v>
      </c>
      <c r="T240" t="s">
        <v>8</v>
      </c>
      <c r="U240" t="s">
        <v>8</v>
      </c>
      <c r="V240" t="s">
        <v>7</v>
      </c>
      <c r="W240" t="s">
        <v>8</v>
      </c>
      <c r="X240" t="s">
        <v>8</v>
      </c>
      <c r="Y240" t="s">
        <v>8</v>
      </c>
      <c r="Z240" t="s">
        <v>8</v>
      </c>
      <c r="AA240" t="s">
        <v>8</v>
      </c>
      <c r="AB240" t="s">
        <v>8</v>
      </c>
      <c r="AC240" t="s">
        <v>8</v>
      </c>
    </row>
    <row r="241" spans="1:29" x14ac:dyDescent="0.25">
      <c r="A241">
        <v>215</v>
      </c>
      <c r="B241" t="s">
        <v>365</v>
      </c>
      <c r="C241" t="s">
        <v>78</v>
      </c>
      <c r="D241" s="6">
        <f t="shared" si="18"/>
        <v>0</v>
      </c>
      <c r="E241">
        <v>0</v>
      </c>
      <c r="F241">
        <v>0</v>
      </c>
      <c r="G241" s="3">
        <f t="shared" si="19"/>
        <v>0</v>
      </c>
      <c r="H241" s="3">
        <f t="shared" si="20"/>
        <v>0</v>
      </c>
      <c r="I241" s="3">
        <f t="shared" si="21"/>
        <v>0</v>
      </c>
      <c r="J241" s="3">
        <f t="shared" si="22"/>
        <v>0</v>
      </c>
      <c r="K241" s="3">
        <f t="shared" si="23"/>
        <v>1</v>
      </c>
      <c r="L241" t="s">
        <v>8</v>
      </c>
      <c r="M241" t="s">
        <v>8</v>
      </c>
      <c r="N241" t="s">
        <v>8</v>
      </c>
      <c r="O241" t="s">
        <v>8</v>
      </c>
      <c r="P241" t="s">
        <v>8</v>
      </c>
      <c r="Q241">
        <v>0</v>
      </c>
      <c r="R241" t="s">
        <v>8</v>
      </c>
      <c r="S241" t="s">
        <v>8</v>
      </c>
      <c r="T241" t="s">
        <v>7</v>
      </c>
      <c r="U241" t="s">
        <v>8</v>
      </c>
      <c r="V241" t="s">
        <v>8</v>
      </c>
      <c r="W241" t="s">
        <v>8</v>
      </c>
      <c r="X241" t="s">
        <v>8</v>
      </c>
      <c r="Y241" t="s">
        <v>8</v>
      </c>
      <c r="Z241" t="s">
        <v>8</v>
      </c>
      <c r="AA241" t="s">
        <v>8</v>
      </c>
      <c r="AB241" t="s">
        <v>8</v>
      </c>
      <c r="AC241" t="s">
        <v>8</v>
      </c>
    </row>
    <row r="242" spans="1:29" x14ac:dyDescent="0.25">
      <c r="A242">
        <v>215</v>
      </c>
      <c r="B242" t="s">
        <v>360</v>
      </c>
      <c r="C242" t="s">
        <v>28</v>
      </c>
      <c r="D242" s="6">
        <f t="shared" si="18"/>
        <v>0</v>
      </c>
      <c r="E242">
        <v>0</v>
      </c>
      <c r="F242">
        <v>0</v>
      </c>
      <c r="G242" s="3">
        <f t="shared" si="19"/>
        <v>0</v>
      </c>
      <c r="H242" s="3">
        <f t="shared" si="20"/>
        <v>0</v>
      </c>
      <c r="I242" s="3">
        <f t="shared" si="21"/>
        <v>0</v>
      </c>
      <c r="J242" s="3">
        <f t="shared" si="22"/>
        <v>0</v>
      </c>
      <c r="K242" s="3">
        <f t="shared" si="23"/>
        <v>2</v>
      </c>
      <c r="L242" t="s">
        <v>8</v>
      </c>
      <c r="M242">
        <v>0</v>
      </c>
      <c r="N242">
        <v>0</v>
      </c>
      <c r="O242" t="s">
        <v>8</v>
      </c>
      <c r="P242" t="s">
        <v>8</v>
      </c>
      <c r="Q242" t="s">
        <v>8</v>
      </c>
      <c r="R242" t="s">
        <v>8</v>
      </c>
      <c r="S242" t="s">
        <v>8</v>
      </c>
      <c r="T242" t="s">
        <v>8</v>
      </c>
      <c r="U242" t="s">
        <v>8</v>
      </c>
      <c r="V242" t="s">
        <v>7</v>
      </c>
      <c r="W242" t="s">
        <v>8</v>
      </c>
      <c r="X242" t="s">
        <v>8</v>
      </c>
      <c r="Y242" t="s">
        <v>8</v>
      </c>
      <c r="Z242" t="s">
        <v>8</v>
      </c>
      <c r="AA242" t="s">
        <v>8</v>
      </c>
      <c r="AB242" t="s">
        <v>8</v>
      </c>
      <c r="AC242" t="s">
        <v>8</v>
      </c>
    </row>
    <row r="243" spans="1:29" x14ac:dyDescent="0.25">
      <c r="A243">
        <v>215</v>
      </c>
      <c r="B243" t="s">
        <v>366</v>
      </c>
      <c r="C243" t="s">
        <v>97</v>
      </c>
      <c r="D243" s="6">
        <f t="shared" si="18"/>
        <v>0</v>
      </c>
      <c r="E243">
        <v>0</v>
      </c>
      <c r="F243">
        <v>0</v>
      </c>
      <c r="G243" s="3">
        <f t="shared" si="19"/>
        <v>0</v>
      </c>
      <c r="H243" s="3">
        <f t="shared" si="20"/>
        <v>0</v>
      </c>
      <c r="I243" s="3">
        <f t="shared" si="21"/>
        <v>0</v>
      </c>
      <c r="J243" s="3">
        <f t="shared" si="22"/>
        <v>0</v>
      </c>
      <c r="K243" s="3">
        <f t="shared" si="23"/>
        <v>7</v>
      </c>
      <c r="L243" t="s">
        <v>8</v>
      </c>
      <c r="M243" t="s">
        <v>8</v>
      </c>
      <c r="N243" t="s">
        <v>8</v>
      </c>
      <c r="O243" t="s">
        <v>8</v>
      </c>
      <c r="P243" t="s">
        <v>8</v>
      </c>
      <c r="Q243" t="s">
        <v>8</v>
      </c>
      <c r="R243">
        <v>0</v>
      </c>
      <c r="S243">
        <v>0</v>
      </c>
      <c r="T243">
        <v>0</v>
      </c>
      <c r="U243" t="s">
        <v>7</v>
      </c>
      <c r="V243">
        <v>0</v>
      </c>
      <c r="W243">
        <v>0</v>
      </c>
      <c r="X243">
        <v>0</v>
      </c>
      <c r="Y243" t="s">
        <v>8</v>
      </c>
      <c r="Z243" t="s">
        <v>8</v>
      </c>
      <c r="AA243" t="s">
        <v>8</v>
      </c>
      <c r="AB243">
        <v>0</v>
      </c>
      <c r="AC243" t="s">
        <v>8</v>
      </c>
    </row>
    <row r="244" spans="1:29" x14ac:dyDescent="0.25">
      <c r="A244">
        <v>215</v>
      </c>
      <c r="B244" t="s">
        <v>364</v>
      </c>
      <c r="C244" t="s">
        <v>6</v>
      </c>
      <c r="D244" s="6">
        <f t="shared" si="18"/>
        <v>0</v>
      </c>
      <c r="E244">
        <v>0</v>
      </c>
      <c r="F244">
        <v>0</v>
      </c>
      <c r="G244" s="3">
        <f t="shared" si="19"/>
        <v>0</v>
      </c>
      <c r="H244" s="3">
        <f t="shared" si="20"/>
        <v>0</v>
      </c>
      <c r="I244" s="3">
        <f t="shared" si="21"/>
        <v>0</v>
      </c>
      <c r="J244" s="3">
        <f t="shared" si="22"/>
        <v>0</v>
      </c>
      <c r="K244" s="3">
        <f t="shared" si="23"/>
        <v>3</v>
      </c>
      <c r="L244" t="s">
        <v>8</v>
      </c>
      <c r="M244" t="s">
        <v>8</v>
      </c>
      <c r="N244" t="s">
        <v>8</v>
      </c>
      <c r="O244" t="s">
        <v>8</v>
      </c>
      <c r="P244" t="s">
        <v>7</v>
      </c>
      <c r="Q244" t="s">
        <v>8</v>
      </c>
      <c r="R244" t="s">
        <v>8</v>
      </c>
      <c r="S244" t="s">
        <v>8</v>
      </c>
      <c r="T244">
        <v>0</v>
      </c>
      <c r="U244" t="s">
        <v>8</v>
      </c>
      <c r="V244" t="s">
        <v>8</v>
      </c>
      <c r="W244" t="s">
        <v>8</v>
      </c>
      <c r="X244">
        <v>0</v>
      </c>
      <c r="Y244" t="s">
        <v>8</v>
      </c>
      <c r="Z244">
        <v>0</v>
      </c>
      <c r="AA244" t="s">
        <v>8</v>
      </c>
      <c r="AB244" t="s">
        <v>8</v>
      </c>
      <c r="AC244" t="s">
        <v>8</v>
      </c>
    </row>
    <row r="245" spans="1:29" x14ac:dyDescent="0.25">
      <c r="A245">
        <v>215</v>
      </c>
      <c r="B245" t="s">
        <v>359</v>
      </c>
      <c r="C245" t="s">
        <v>18</v>
      </c>
      <c r="D245" s="6">
        <f t="shared" si="18"/>
        <v>0</v>
      </c>
      <c r="E245">
        <v>0</v>
      </c>
      <c r="F245">
        <v>0</v>
      </c>
      <c r="G245" s="3">
        <f t="shared" si="19"/>
        <v>0</v>
      </c>
      <c r="H245" s="3">
        <f t="shared" si="20"/>
        <v>0</v>
      </c>
      <c r="I245" s="3">
        <f t="shared" si="21"/>
        <v>0</v>
      </c>
      <c r="J245" s="3">
        <f t="shared" si="22"/>
        <v>0</v>
      </c>
      <c r="K245" s="3">
        <f t="shared" si="23"/>
        <v>2</v>
      </c>
      <c r="L245" t="s">
        <v>8</v>
      </c>
      <c r="M245" t="s">
        <v>8</v>
      </c>
      <c r="N245">
        <v>0</v>
      </c>
      <c r="O245" t="s">
        <v>8</v>
      </c>
      <c r="P245" t="s">
        <v>8</v>
      </c>
      <c r="Q245" t="s">
        <v>7</v>
      </c>
      <c r="R245" t="s">
        <v>8</v>
      </c>
      <c r="S245" t="s">
        <v>8</v>
      </c>
      <c r="T245" t="s">
        <v>8</v>
      </c>
      <c r="U245" t="s">
        <v>8</v>
      </c>
      <c r="V245" t="s">
        <v>8</v>
      </c>
      <c r="W245" t="s">
        <v>8</v>
      </c>
      <c r="X245" t="s">
        <v>8</v>
      </c>
      <c r="Y245" t="s">
        <v>8</v>
      </c>
      <c r="Z245" t="s">
        <v>8</v>
      </c>
      <c r="AA245">
        <v>0</v>
      </c>
      <c r="AB245" t="s">
        <v>8</v>
      </c>
      <c r="AC245" t="s">
        <v>8</v>
      </c>
    </row>
    <row r="246" spans="1:29" x14ac:dyDescent="0.25">
      <c r="A246">
        <v>215</v>
      </c>
      <c r="B246" t="s">
        <v>367</v>
      </c>
      <c r="C246" t="s">
        <v>45</v>
      </c>
      <c r="D246" s="6">
        <f t="shared" si="18"/>
        <v>0</v>
      </c>
      <c r="E246">
        <v>0</v>
      </c>
      <c r="F246">
        <v>0</v>
      </c>
      <c r="G246" s="3">
        <f t="shared" si="19"/>
        <v>0</v>
      </c>
      <c r="H246" s="3">
        <f t="shared" si="20"/>
        <v>0</v>
      </c>
      <c r="I246" s="3">
        <f t="shared" si="21"/>
        <v>0</v>
      </c>
      <c r="J246" s="3">
        <f t="shared" si="22"/>
        <v>0</v>
      </c>
      <c r="K246" s="3">
        <f t="shared" si="23"/>
        <v>1</v>
      </c>
      <c r="L246" t="s">
        <v>8</v>
      </c>
      <c r="M246" t="s">
        <v>8</v>
      </c>
      <c r="N246" t="s">
        <v>8</v>
      </c>
      <c r="O246" t="s">
        <v>8</v>
      </c>
      <c r="P246" t="s">
        <v>7</v>
      </c>
      <c r="Q246" t="s">
        <v>8</v>
      </c>
      <c r="R246">
        <v>0</v>
      </c>
      <c r="S246" t="s">
        <v>8</v>
      </c>
      <c r="T246" t="s">
        <v>8</v>
      </c>
      <c r="U246" t="s">
        <v>8</v>
      </c>
      <c r="V246" t="s">
        <v>8</v>
      </c>
      <c r="W246" t="s">
        <v>8</v>
      </c>
      <c r="X246" t="s">
        <v>8</v>
      </c>
      <c r="Y246" t="s">
        <v>8</v>
      </c>
      <c r="Z246" t="s">
        <v>8</v>
      </c>
      <c r="AA246" t="s">
        <v>8</v>
      </c>
      <c r="AB246" t="s">
        <v>8</v>
      </c>
      <c r="AC246" t="s">
        <v>8</v>
      </c>
    </row>
    <row r="247" spans="1:29" x14ac:dyDescent="0.25">
      <c r="A247">
        <v>215</v>
      </c>
      <c r="B247" t="s">
        <v>357</v>
      </c>
      <c r="C247" t="s">
        <v>55</v>
      </c>
      <c r="D247" s="6">
        <f t="shared" si="18"/>
        <v>0</v>
      </c>
      <c r="E247">
        <v>0</v>
      </c>
      <c r="F247">
        <v>0</v>
      </c>
      <c r="G247" s="3">
        <f t="shared" si="19"/>
        <v>0</v>
      </c>
      <c r="H247" s="3">
        <f t="shared" si="20"/>
        <v>0</v>
      </c>
      <c r="I247" s="3">
        <f t="shared" si="21"/>
        <v>0</v>
      </c>
      <c r="J247" s="3">
        <f t="shared" si="22"/>
        <v>0</v>
      </c>
      <c r="K247" s="3">
        <f t="shared" si="23"/>
        <v>6</v>
      </c>
      <c r="L247" t="s">
        <v>8</v>
      </c>
      <c r="M247">
        <v>0</v>
      </c>
      <c r="N247">
        <v>0</v>
      </c>
      <c r="O247" t="s">
        <v>8</v>
      </c>
      <c r="P247">
        <v>0</v>
      </c>
      <c r="Q247" t="s">
        <v>8</v>
      </c>
      <c r="R247">
        <v>0</v>
      </c>
      <c r="S247" t="s">
        <v>8</v>
      </c>
      <c r="T247" t="s">
        <v>8</v>
      </c>
      <c r="U247" t="s">
        <v>8</v>
      </c>
      <c r="V247" t="s">
        <v>7</v>
      </c>
      <c r="W247" t="s">
        <v>8</v>
      </c>
      <c r="X247">
        <v>0</v>
      </c>
      <c r="Y247">
        <v>0</v>
      </c>
      <c r="Z247" t="s">
        <v>8</v>
      </c>
      <c r="AA247" t="s">
        <v>8</v>
      </c>
      <c r="AB247" t="s">
        <v>8</v>
      </c>
      <c r="AC247" t="s">
        <v>8</v>
      </c>
    </row>
    <row r="248" spans="1:29" x14ac:dyDescent="0.25">
      <c r="A248">
        <v>215</v>
      </c>
      <c r="B248" t="s">
        <v>356</v>
      </c>
      <c r="C248" t="s">
        <v>40</v>
      </c>
      <c r="D248" s="6">
        <f t="shared" si="18"/>
        <v>0</v>
      </c>
      <c r="E248">
        <v>0</v>
      </c>
      <c r="F248">
        <v>0</v>
      </c>
      <c r="G248" s="3">
        <f t="shared" si="19"/>
        <v>0</v>
      </c>
      <c r="H248" s="3">
        <f t="shared" si="20"/>
        <v>0</v>
      </c>
      <c r="I248" s="3">
        <f t="shared" si="21"/>
        <v>0</v>
      </c>
      <c r="J248" s="3">
        <f t="shared" si="22"/>
        <v>0</v>
      </c>
      <c r="K248" s="3">
        <f t="shared" si="23"/>
        <v>11</v>
      </c>
      <c r="L248" t="s">
        <v>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7</v>
      </c>
      <c r="X248">
        <v>0</v>
      </c>
      <c r="Y248" t="s">
        <v>8</v>
      </c>
      <c r="Z248" t="s">
        <v>8</v>
      </c>
      <c r="AA248" t="s">
        <v>8</v>
      </c>
      <c r="AB248" t="s">
        <v>8</v>
      </c>
      <c r="AC248" t="s">
        <v>8</v>
      </c>
    </row>
    <row r="249" spans="1:29" x14ac:dyDescent="0.25">
      <c r="A249">
        <v>215</v>
      </c>
      <c r="B249" t="s">
        <v>346</v>
      </c>
      <c r="C249" t="s">
        <v>45</v>
      </c>
      <c r="D249" s="6">
        <f t="shared" si="18"/>
        <v>0</v>
      </c>
      <c r="E249">
        <v>0</v>
      </c>
      <c r="F249">
        <v>0</v>
      </c>
      <c r="G249" s="3">
        <f t="shared" si="19"/>
        <v>0</v>
      </c>
      <c r="H249" s="3">
        <f t="shared" si="20"/>
        <v>0</v>
      </c>
      <c r="I249" s="3">
        <f t="shared" si="21"/>
        <v>0</v>
      </c>
      <c r="J249" s="3">
        <f t="shared" si="22"/>
        <v>0</v>
      </c>
      <c r="K249" s="3">
        <f t="shared" si="23"/>
        <v>1</v>
      </c>
      <c r="L249" t="s">
        <v>8</v>
      </c>
      <c r="M249" t="s">
        <v>8</v>
      </c>
      <c r="N249" t="s">
        <v>8</v>
      </c>
      <c r="O249" t="s">
        <v>8</v>
      </c>
      <c r="P249" t="s">
        <v>7</v>
      </c>
      <c r="Q249" t="s">
        <v>8</v>
      </c>
      <c r="R249" t="s">
        <v>8</v>
      </c>
      <c r="S249">
        <v>0</v>
      </c>
      <c r="T249" t="s">
        <v>8</v>
      </c>
      <c r="U249" t="s">
        <v>8</v>
      </c>
      <c r="V249" t="s">
        <v>8</v>
      </c>
      <c r="W249" t="s">
        <v>8</v>
      </c>
      <c r="X249" t="s">
        <v>8</v>
      </c>
      <c r="Y249" t="s">
        <v>8</v>
      </c>
      <c r="Z249" t="s">
        <v>8</v>
      </c>
      <c r="AA249" t="s">
        <v>8</v>
      </c>
      <c r="AB249" t="s">
        <v>8</v>
      </c>
      <c r="AC249" t="s">
        <v>8</v>
      </c>
    </row>
    <row r="250" spans="1:29" x14ac:dyDescent="0.25">
      <c r="A250">
        <v>215</v>
      </c>
      <c r="B250" t="s">
        <v>345</v>
      </c>
      <c r="C250" t="s">
        <v>22</v>
      </c>
      <c r="D250" s="6">
        <f t="shared" si="18"/>
        <v>0</v>
      </c>
      <c r="E250">
        <v>0</v>
      </c>
      <c r="F250">
        <v>0</v>
      </c>
      <c r="G250" s="3">
        <f t="shared" si="19"/>
        <v>0</v>
      </c>
      <c r="H250" s="3">
        <f t="shared" si="20"/>
        <v>0</v>
      </c>
      <c r="I250" s="3">
        <f t="shared" si="21"/>
        <v>0</v>
      </c>
      <c r="J250" s="3">
        <f t="shared" si="22"/>
        <v>0</v>
      </c>
      <c r="K250" s="3">
        <f t="shared" si="23"/>
        <v>7</v>
      </c>
      <c r="L250" t="s">
        <v>8</v>
      </c>
      <c r="M250" t="s">
        <v>8</v>
      </c>
      <c r="N250" t="s">
        <v>8</v>
      </c>
      <c r="O250" t="s">
        <v>8</v>
      </c>
      <c r="P250" t="s">
        <v>8</v>
      </c>
      <c r="Q250" t="s">
        <v>8</v>
      </c>
      <c r="R250" t="s">
        <v>8</v>
      </c>
      <c r="S250">
        <v>0</v>
      </c>
      <c r="T250">
        <v>0</v>
      </c>
      <c r="U250">
        <v>0</v>
      </c>
      <c r="V250">
        <v>0</v>
      </c>
      <c r="W250" t="s">
        <v>7</v>
      </c>
      <c r="X250">
        <v>0</v>
      </c>
      <c r="Y250">
        <v>0</v>
      </c>
      <c r="Z250" t="s">
        <v>8</v>
      </c>
      <c r="AA250">
        <v>0</v>
      </c>
      <c r="AB250" t="s">
        <v>8</v>
      </c>
      <c r="AC250" t="s">
        <v>8</v>
      </c>
    </row>
    <row r="251" spans="1:29" x14ac:dyDescent="0.25">
      <c r="A251">
        <v>215</v>
      </c>
      <c r="B251" t="s">
        <v>333</v>
      </c>
      <c r="C251" t="s">
        <v>55</v>
      </c>
      <c r="D251" s="6">
        <f t="shared" si="18"/>
        <v>0</v>
      </c>
      <c r="E251">
        <v>0</v>
      </c>
      <c r="F251">
        <v>0</v>
      </c>
      <c r="G251" s="3">
        <f t="shared" si="19"/>
        <v>0</v>
      </c>
      <c r="H251" s="3">
        <f t="shared" si="20"/>
        <v>0</v>
      </c>
      <c r="I251" s="3">
        <f t="shared" si="21"/>
        <v>0</v>
      </c>
      <c r="J251" s="3">
        <f t="shared" si="22"/>
        <v>0</v>
      </c>
      <c r="K251" s="3">
        <f t="shared" si="23"/>
        <v>1</v>
      </c>
      <c r="L251" t="s">
        <v>8</v>
      </c>
      <c r="M251" t="s">
        <v>8</v>
      </c>
      <c r="N251" t="s">
        <v>8</v>
      </c>
      <c r="O251" t="s">
        <v>8</v>
      </c>
      <c r="P251" t="s">
        <v>8</v>
      </c>
      <c r="Q251" t="s">
        <v>8</v>
      </c>
      <c r="R251" t="s">
        <v>8</v>
      </c>
      <c r="S251">
        <v>0</v>
      </c>
      <c r="T251" t="s">
        <v>8</v>
      </c>
      <c r="U251" t="s">
        <v>8</v>
      </c>
      <c r="V251" t="s">
        <v>7</v>
      </c>
      <c r="W251" t="s">
        <v>8</v>
      </c>
      <c r="X251" t="s">
        <v>8</v>
      </c>
      <c r="Y251" t="s">
        <v>8</v>
      </c>
      <c r="Z251" t="s">
        <v>8</v>
      </c>
      <c r="AA251" t="s">
        <v>8</v>
      </c>
      <c r="AB251" t="s">
        <v>8</v>
      </c>
      <c r="AC251" t="s">
        <v>8</v>
      </c>
    </row>
    <row r="252" spans="1:29" x14ac:dyDescent="0.25">
      <c r="A252">
        <v>215</v>
      </c>
      <c r="B252" t="s">
        <v>354</v>
      </c>
      <c r="C252" t="s">
        <v>90</v>
      </c>
      <c r="D252" s="6">
        <f t="shared" si="18"/>
        <v>0</v>
      </c>
      <c r="E252">
        <v>0</v>
      </c>
      <c r="F252">
        <v>0</v>
      </c>
      <c r="G252" s="3">
        <f t="shared" si="19"/>
        <v>0</v>
      </c>
      <c r="H252" s="3">
        <f t="shared" si="20"/>
        <v>0</v>
      </c>
      <c r="I252" s="3">
        <f t="shared" si="21"/>
        <v>0</v>
      </c>
      <c r="J252" s="3">
        <f t="shared" si="22"/>
        <v>0</v>
      </c>
      <c r="K252" s="3">
        <f t="shared" si="23"/>
        <v>13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8</v>
      </c>
      <c r="R252">
        <v>0</v>
      </c>
      <c r="S252" t="s">
        <v>8</v>
      </c>
      <c r="T252">
        <v>0</v>
      </c>
      <c r="U252">
        <v>0</v>
      </c>
      <c r="V252">
        <v>0</v>
      </c>
      <c r="W252">
        <v>0</v>
      </c>
      <c r="X252" t="s">
        <v>8</v>
      </c>
      <c r="Y252">
        <v>0</v>
      </c>
      <c r="Z252" t="s">
        <v>8</v>
      </c>
      <c r="AA252">
        <v>0</v>
      </c>
      <c r="AB252" t="s">
        <v>8</v>
      </c>
      <c r="AC252">
        <v>0</v>
      </c>
    </row>
    <row r="253" spans="1:29" x14ac:dyDescent="0.25">
      <c r="A253">
        <v>215</v>
      </c>
      <c r="B253" t="s">
        <v>338</v>
      </c>
      <c r="C253" t="s">
        <v>90</v>
      </c>
      <c r="D253" s="6">
        <f t="shared" si="18"/>
        <v>0</v>
      </c>
      <c r="E253">
        <v>0</v>
      </c>
      <c r="F253">
        <v>0</v>
      </c>
      <c r="G253" s="3">
        <f t="shared" si="19"/>
        <v>0</v>
      </c>
      <c r="H253" s="3">
        <f t="shared" si="20"/>
        <v>0</v>
      </c>
      <c r="I253" s="3">
        <f t="shared" si="21"/>
        <v>0</v>
      </c>
      <c r="J253" s="3">
        <f t="shared" si="22"/>
        <v>0</v>
      </c>
      <c r="K253" s="3">
        <f t="shared" si="23"/>
        <v>4</v>
      </c>
      <c r="L253" t="s">
        <v>8</v>
      </c>
      <c r="M253" t="s">
        <v>8</v>
      </c>
      <c r="N253" t="s">
        <v>8</v>
      </c>
      <c r="O253" t="s">
        <v>8</v>
      </c>
      <c r="P253" t="s">
        <v>8</v>
      </c>
      <c r="Q253" t="s">
        <v>8</v>
      </c>
      <c r="R253" t="s">
        <v>8</v>
      </c>
      <c r="S253" t="s">
        <v>8</v>
      </c>
      <c r="T253">
        <v>0</v>
      </c>
      <c r="U253" t="s">
        <v>8</v>
      </c>
      <c r="V253" t="s">
        <v>8</v>
      </c>
      <c r="W253">
        <v>0</v>
      </c>
      <c r="X253" t="s">
        <v>8</v>
      </c>
      <c r="Y253" t="s">
        <v>8</v>
      </c>
      <c r="Z253">
        <v>0</v>
      </c>
      <c r="AA253" t="s">
        <v>8</v>
      </c>
      <c r="AB253" t="s">
        <v>8</v>
      </c>
      <c r="AC253">
        <v>0</v>
      </c>
    </row>
    <row r="254" spans="1:29" x14ac:dyDescent="0.25">
      <c r="A254">
        <v>215</v>
      </c>
      <c r="B254" t="s">
        <v>368</v>
      </c>
      <c r="C254" t="s">
        <v>45</v>
      </c>
      <c r="D254" s="6">
        <f t="shared" si="18"/>
        <v>0</v>
      </c>
      <c r="E254">
        <v>0</v>
      </c>
      <c r="F254">
        <v>0</v>
      </c>
      <c r="G254" s="3">
        <f t="shared" si="19"/>
        <v>0</v>
      </c>
      <c r="H254" s="3">
        <f t="shared" si="20"/>
        <v>0</v>
      </c>
      <c r="I254" s="3">
        <f t="shared" si="21"/>
        <v>0</v>
      </c>
      <c r="J254" s="3">
        <f t="shared" si="22"/>
        <v>0</v>
      </c>
      <c r="K254" s="3">
        <f t="shared" si="23"/>
        <v>1</v>
      </c>
      <c r="L254" t="s">
        <v>8</v>
      </c>
      <c r="M254" t="s">
        <v>8</v>
      </c>
      <c r="N254" t="s">
        <v>8</v>
      </c>
      <c r="O254" t="s">
        <v>8</v>
      </c>
      <c r="P254" t="s">
        <v>7</v>
      </c>
      <c r="Q254" t="s">
        <v>8</v>
      </c>
      <c r="R254" t="s">
        <v>8</v>
      </c>
      <c r="S254" t="s">
        <v>8</v>
      </c>
      <c r="T254" t="s">
        <v>8</v>
      </c>
      <c r="U254" t="s">
        <v>8</v>
      </c>
      <c r="V254" t="s">
        <v>8</v>
      </c>
      <c r="W254" t="s">
        <v>8</v>
      </c>
      <c r="X254" t="s">
        <v>8</v>
      </c>
      <c r="Y254" t="s">
        <v>8</v>
      </c>
      <c r="Z254" t="s">
        <v>8</v>
      </c>
      <c r="AA254" t="s">
        <v>8</v>
      </c>
      <c r="AB254" t="s">
        <v>8</v>
      </c>
      <c r="AC254">
        <v>0</v>
      </c>
    </row>
    <row r="255" spans="1:29" x14ac:dyDescent="0.25">
      <c r="A255">
        <v>254</v>
      </c>
      <c r="B255" t="s">
        <v>369</v>
      </c>
      <c r="C255" t="s">
        <v>90</v>
      </c>
      <c r="D255" s="6">
        <f t="shared" si="18"/>
        <v>0</v>
      </c>
      <c r="E255">
        <v>0</v>
      </c>
      <c r="F255">
        <v>-0.1</v>
      </c>
      <c r="G255" s="3">
        <f t="shared" si="19"/>
        <v>0</v>
      </c>
      <c r="H255" s="3">
        <f t="shared" si="20"/>
        <v>0</v>
      </c>
      <c r="I255" s="3">
        <f t="shared" si="21"/>
        <v>0</v>
      </c>
      <c r="J255" s="3">
        <f t="shared" si="22"/>
        <v>0</v>
      </c>
      <c r="K255" s="3">
        <f t="shared" si="23"/>
        <v>4</v>
      </c>
      <c r="L255" t="s">
        <v>8</v>
      </c>
      <c r="M255" t="s">
        <v>8</v>
      </c>
      <c r="N255" t="s">
        <v>8</v>
      </c>
      <c r="O255" t="s">
        <v>8</v>
      </c>
      <c r="P255" t="s">
        <v>8</v>
      </c>
      <c r="Q255" t="s">
        <v>8</v>
      </c>
      <c r="R255">
        <v>0</v>
      </c>
      <c r="S255">
        <v>0</v>
      </c>
      <c r="T255">
        <v>-0.1</v>
      </c>
      <c r="U255">
        <v>0</v>
      </c>
      <c r="V255" t="s">
        <v>8</v>
      </c>
      <c r="W255" t="s">
        <v>8</v>
      </c>
      <c r="X255" t="s">
        <v>8</v>
      </c>
      <c r="Y255" t="s">
        <v>8</v>
      </c>
      <c r="Z255" t="s">
        <v>8</v>
      </c>
      <c r="AA255" t="s">
        <v>8</v>
      </c>
      <c r="AB255" t="s">
        <v>8</v>
      </c>
      <c r="AC255" t="s">
        <v>8</v>
      </c>
    </row>
    <row r="256" spans="1:29" x14ac:dyDescent="0.25">
      <c r="A256">
        <v>255</v>
      </c>
      <c r="B256" t="s">
        <v>370</v>
      </c>
      <c r="C256" t="s">
        <v>53</v>
      </c>
      <c r="D256" s="6">
        <f t="shared" si="18"/>
        <v>0</v>
      </c>
      <c r="E256">
        <v>-0.2</v>
      </c>
      <c r="F256">
        <v>-2</v>
      </c>
      <c r="G256" s="3">
        <f t="shared" si="19"/>
        <v>0</v>
      </c>
      <c r="H256" s="3">
        <f t="shared" si="20"/>
        <v>0</v>
      </c>
      <c r="I256" s="3">
        <f t="shared" si="21"/>
        <v>0</v>
      </c>
      <c r="J256" s="3">
        <f t="shared" si="22"/>
        <v>0</v>
      </c>
      <c r="K256" s="3">
        <f t="shared" si="23"/>
        <v>9</v>
      </c>
      <c r="L256">
        <v>0</v>
      </c>
      <c r="M256">
        <v>0</v>
      </c>
      <c r="N256">
        <v>0</v>
      </c>
      <c r="O256">
        <v>-2</v>
      </c>
      <c r="P256" t="s">
        <v>8</v>
      </c>
      <c r="Q256">
        <v>0</v>
      </c>
      <c r="R256" t="s">
        <v>8</v>
      </c>
      <c r="S256" t="s">
        <v>8</v>
      </c>
      <c r="T256">
        <v>0</v>
      </c>
      <c r="U256">
        <v>0</v>
      </c>
      <c r="V256" t="s">
        <v>8</v>
      </c>
      <c r="W256" t="s">
        <v>8</v>
      </c>
      <c r="X256" t="s">
        <v>8</v>
      </c>
      <c r="Y256" t="s">
        <v>8</v>
      </c>
      <c r="Z256" t="s">
        <v>8</v>
      </c>
      <c r="AA256" t="s">
        <v>8</v>
      </c>
      <c r="AB256">
        <v>0</v>
      </c>
      <c r="AC256">
        <v>0</v>
      </c>
    </row>
    <row r="257" spans="1:29" x14ac:dyDescent="0.25">
      <c r="A257">
        <v>257</v>
      </c>
      <c r="B257" t="s">
        <v>372</v>
      </c>
      <c r="C257" t="s">
        <v>47</v>
      </c>
      <c r="D257" s="6">
        <f t="shared" si="18"/>
        <v>0</v>
      </c>
      <c r="E257">
        <v>-0.2</v>
      </c>
      <c r="F257">
        <v>-2.7</v>
      </c>
      <c r="G257" s="3">
        <f t="shared" si="19"/>
        <v>0</v>
      </c>
      <c r="H257" s="3">
        <f t="shared" si="20"/>
        <v>0</v>
      </c>
      <c r="I257" s="3">
        <f t="shared" si="21"/>
        <v>0</v>
      </c>
      <c r="J257" s="3">
        <f t="shared" si="22"/>
        <v>0</v>
      </c>
      <c r="K257" s="3">
        <f t="shared" si="23"/>
        <v>12</v>
      </c>
      <c r="L257">
        <v>0</v>
      </c>
      <c r="M257">
        <v>0</v>
      </c>
      <c r="N257">
        <v>0</v>
      </c>
      <c r="O257">
        <v>0</v>
      </c>
      <c r="P257" t="s">
        <v>7</v>
      </c>
      <c r="Q257">
        <v>0</v>
      </c>
      <c r="R257">
        <v>0</v>
      </c>
      <c r="S257">
        <v>0</v>
      </c>
      <c r="T257">
        <v>1.3</v>
      </c>
      <c r="U257">
        <v>0</v>
      </c>
      <c r="V257">
        <v>0</v>
      </c>
      <c r="W257">
        <v>-2</v>
      </c>
      <c r="X257">
        <v>-2</v>
      </c>
      <c r="Y257" t="s">
        <v>8</v>
      </c>
      <c r="Z257" t="s">
        <v>8</v>
      </c>
      <c r="AA257" t="s">
        <v>8</v>
      </c>
      <c r="AB257" t="s">
        <v>8</v>
      </c>
      <c r="AC257" t="s">
        <v>8</v>
      </c>
    </row>
    <row r="258" spans="1:29" x14ac:dyDescent="0.25">
      <c r="A258">
        <v>258</v>
      </c>
      <c r="B258" t="s">
        <v>373</v>
      </c>
      <c r="C258" t="s">
        <v>55</v>
      </c>
      <c r="D258" s="6">
        <f t="shared" si="18"/>
        <v>0</v>
      </c>
      <c r="E258">
        <v>-0.5</v>
      </c>
      <c r="F258">
        <v>-6</v>
      </c>
      <c r="G258" s="3">
        <f t="shared" si="19"/>
        <v>0</v>
      </c>
      <c r="H258" s="3">
        <f t="shared" si="20"/>
        <v>0</v>
      </c>
      <c r="I258" s="3">
        <f t="shared" si="21"/>
        <v>0</v>
      </c>
      <c r="J258" s="3">
        <f t="shared" si="22"/>
        <v>0</v>
      </c>
      <c r="K258" s="3">
        <f t="shared" ref="K258:K259" si="24">COUNT(L258:AC258)</f>
        <v>13</v>
      </c>
      <c r="L258">
        <v>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-2</v>
      </c>
      <c r="T258">
        <v>0</v>
      </c>
      <c r="U258" t="s">
        <v>8</v>
      </c>
      <c r="V258">
        <v>0</v>
      </c>
      <c r="W258">
        <v>0</v>
      </c>
      <c r="X258">
        <v>-2</v>
      </c>
      <c r="Y258" t="s">
        <v>8</v>
      </c>
      <c r="Z258">
        <v>0</v>
      </c>
      <c r="AA258" t="s">
        <v>8</v>
      </c>
      <c r="AB258" t="s">
        <v>8</v>
      </c>
      <c r="AC258" t="s">
        <v>8</v>
      </c>
    </row>
    <row r="259" spans="1:29" x14ac:dyDescent="0.25">
      <c r="A259">
        <v>256</v>
      </c>
      <c r="B259" t="s">
        <v>371</v>
      </c>
      <c r="C259" t="s">
        <v>90</v>
      </c>
      <c r="D259" s="6">
        <f t="shared" si="18"/>
        <v>-0.7</v>
      </c>
      <c r="E259">
        <v>-0.8</v>
      </c>
      <c r="F259">
        <v>-2.4</v>
      </c>
      <c r="G259" s="3">
        <f t="shared" si="19"/>
        <v>0</v>
      </c>
      <c r="H259" s="3">
        <f t="shared" si="20"/>
        <v>0</v>
      </c>
      <c r="I259" s="3">
        <f t="shared" si="21"/>
        <v>0</v>
      </c>
      <c r="J259" s="3">
        <f t="shared" si="22"/>
        <v>0</v>
      </c>
      <c r="K259" s="3">
        <f t="shared" si="24"/>
        <v>3</v>
      </c>
      <c r="L259" t="s">
        <v>8</v>
      </c>
      <c r="M259" t="s">
        <v>8</v>
      </c>
      <c r="N259" t="s">
        <v>8</v>
      </c>
      <c r="O259" t="s">
        <v>8</v>
      </c>
      <c r="P259" t="s">
        <v>8</v>
      </c>
      <c r="Q259" t="s">
        <v>8</v>
      </c>
      <c r="R259" t="s">
        <v>8</v>
      </c>
      <c r="S259" t="s">
        <v>8</v>
      </c>
      <c r="T259" t="s">
        <v>8</v>
      </c>
      <c r="U259" t="s">
        <v>8</v>
      </c>
      <c r="V259">
        <v>-0.7</v>
      </c>
      <c r="W259" t="s">
        <v>8</v>
      </c>
      <c r="X259">
        <v>0.3</v>
      </c>
      <c r="Y259">
        <v>-2</v>
      </c>
      <c r="Z259" t="s">
        <v>8</v>
      </c>
      <c r="AA259" t="s">
        <v>8</v>
      </c>
      <c r="AB259" t="s">
        <v>8</v>
      </c>
      <c r="AC259" t="s">
        <v>8</v>
      </c>
    </row>
    <row r="260" spans="1:29" x14ac:dyDescent="0.25">
      <c r="F260" s="3"/>
      <c r="K260" s="4"/>
      <c r="AC260" s="3"/>
    </row>
  </sheetData>
  <sortState xmlns:xlrd2="http://schemas.microsoft.com/office/spreadsheetml/2017/richdata2" ref="A2:AG260">
    <sortCondition descending="1" ref="D2:D260"/>
  </sortState>
  <conditionalFormatting sqref="L2:AC2">
    <cfRule type="cellIs" dxfId="25" priority="1" operator="lessThan">
      <formula>7.6</formula>
    </cfRule>
    <cfRule type="cellIs" dxfId="24" priority="2" operator="greaterThanOrEqual">
      <formula>7.6</formula>
    </cfRule>
  </conditionalFormatting>
  <conditionalFormatting sqref="L2:AC51">
    <cfRule type="cellIs" dxfId="23" priority="3" operator="lessThan">
      <formula>11.45</formula>
    </cfRule>
    <cfRule type="cellIs" dxfId="22" priority="4" operator="greaterThanOrEqual">
      <formula>11.45</formula>
    </cfRule>
  </conditionalFormatting>
  <conditionalFormatting sqref="AF37">
    <cfRule type="cellIs" dxfId="21" priority="5" operator="greaterThanOrEqual">
      <formula>11.45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B1D-2887-4BF7-882B-E68948D96FFA}">
  <dimension ref="A1:AF8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0" sqref="B20"/>
    </sheetView>
  </sheetViews>
  <sheetFormatPr defaultColWidth="9.140625" defaultRowHeight="15" x14ac:dyDescent="0.25"/>
  <cols>
    <col min="1" max="1" width="4" style="4" bestFit="1" customWidth="1"/>
    <col min="2" max="2" width="24.42578125" style="5" bestFit="1" customWidth="1"/>
    <col min="3" max="3" width="5.85546875" style="4" bestFit="1" customWidth="1"/>
    <col min="4" max="4" width="5.85546875" style="4" customWidth="1"/>
    <col min="5" max="5" width="5" style="4" bestFit="1" customWidth="1"/>
    <col min="6" max="6" width="6" style="4" bestFit="1" customWidth="1"/>
    <col min="7" max="7" width="10.7109375" style="3" bestFit="1" customWidth="1"/>
    <col min="8" max="8" width="10.7109375" style="3" customWidth="1"/>
    <col min="9" max="10" width="10.7109375" style="3" bestFit="1" customWidth="1"/>
    <col min="11" max="11" width="13.85546875" style="3" bestFit="1" customWidth="1"/>
    <col min="12" max="29" width="5" style="4" bestFit="1" customWidth="1"/>
    <col min="30" max="31" width="9.140625" style="3"/>
    <col min="32" max="32" width="3" style="3" bestFit="1" customWidth="1"/>
    <col min="33" max="16384" width="9.140625" style="3"/>
  </cols>
  <sheetData>
    <row r="1" spans="1:29" s="2" customFormat="1" x14ac:dyDescent="0.25">
      <c r="A1" s="1" t="s">
        <v>0</v>
      </c>
      <c r="B1" s="1" t="s">
        <v>1</v>
      </c>
      <c r="C1" s="1" t="s">
        <v>2</v>
      </c>
      <c r="D1" s="1" t="s">
        <v>462</v>
      </c>
      <c r="E1" s="1" t="s">
        <v>3</v>
      </c>
      <c r="F1" s="1" t="s">
        <v>4</v>
      </c>
      <c r="G1" s="2" t="s">
        <v>113</v>
      </c>
      <c r="H1" s="2" t="s">
        <v>825</v>
      </c>
      <c r="I1" s="2" t="s">
        <v>114</v>
      </c>
      <c r="J1" s="2" t="s">
        <v>115</v>
      </c>
      <c r="K1" s="2" t="s">
        <v>112</v>
      </c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A1" s="1">
        <v>16</v>
      </c>
      <c r="AB1" s="1">
        <v>17</v>
      </c>
      <c r="AC1" s="1">
        <v>18</v>
      </c>
    </row>
    <row r="2" spans="1:29" x14ac:dyDescent="0.25">
      <c r="A2">
        <v>1</v>
      </c>
      <c r="B2" t="s">
        <v>375</v>
      </c>
      <c r="C2" t="s">
        <v>22</v>
      </c>
      <c r="D2" s="4">
        <f t="shared" ref="D2:D33" si="0">MEDIAN(L2:AC2)</f>
        <v>23.7</v>
      </c>
      <c r="E2">
        <v>24.2</v>
      </c>
      <c r="F2">
        <v>410.6</v>
      </c>
      <c r="G2" s="7">
        <f t="shared" ref="G2:G49" si="1">COUNTIFS(L2:AC2,"&gt;=10",L2:AC2,"&lt;=99")</f>
        <v>17</v>
      </c>
      <c r="H2" s="7">
        <f>COUNTIFS(L2:AC2,"&gt;=20",L2:AC2,"&lt;=99")</f>
        <v>13</v>
      </c>
      <c r="I2" s="7">
        <f t="shared" ref="I2:I49" si="2">COUNTIFS(L2:AC2,"&gt;=20",L2:AC2,"&lt;=99")</f>
        <v>13</v>
      </c>
      <c r="J2" s="7">
        <f t="shared" ref="J2:J49" si="3">COUNTIFS(L2:AC2,"&gt;=30",L2:AC2,"&lt;=99")</f>
        <v>3</v>
      </c>
      <c r="K2" s="7">
        <f t="shared" ref="K2:K49" si="4">COUNT(L2:AC2)</f>
        <v>17</v>
      </c>
      <c r="L2">
        <v>12</v>
      </c>
      <c r="M2">
        <v>23.7</v>
      </c>
      <c r="N2">
        <v>22.3</v>
      </c>
      <c r="O2">
        <v>36.5</v>
      </c>
      <c r="P2">
        <v>28.8</v>
      </c>
      <c r="Q2">
        <v>14.9</v>
      </c>
      <c r="R2">
        <v>25.3</v>
      </c>
      <c r="S2">
        <v>30.1</v>
      </c>
      <c r="T2">
        <v>25.7</v>
      </c>
      <c r="U2">
        <v>16.399999999999999</v>
      </c>
      <c r="V2">
        <v>23.5</v>
      </c>
      <c r="W2">
        <v>40.700000000000003</v>
      </c>
      <c r="X2" t="s">
        <v>7</v>
      </c>
      <c r="Y2">
        <v>21.5</v>
      </c>
      <c r="Z2">
        <v>16.2</v>
      </c>
      <c r="AA2">
        <v>26</v>
      </c>
      <c r="AB2">
        <v>22.2</v>
      </c>
      <c r="AC2">
        <v>25.1</v>
      </c>
    </row>
    <row r="3" spans="1:29" x14ac:dyDescent="0.25">
      <c r="A3">
        <v>2</v>
      </c>
      <c r="B3" t="s">
        <v>381</v>
      </c>
      <c r="C3" t="s">
        <v>6</v>
      </c>
      <c r="D3" s="4">
        <f t="shared" si="0"/>
        <v>23.9</v>
      </c>
      <c r="E3">
        <v>21.9</v>
      </c>
      <c r="F3">
        <v>371.8</v>
      </c>
      <c r="G3" s="7">
        <f t="shared" si="1"/>
        <v>15</v>
      </c>
      <c r="H3" s="7">
        <f t="shared" ref="H3:H66" si="5">COUNTIFS(L3:AC3,"&gt;=20",L3:AC3,"&lt;=99")</f>
        <v>13</v>
      </c>
      <c r="I3" s="7">
        <f t="shared" si="2"/>
        <v>13</v>
      </c>
      <c r="J3" s="7">
        <f t="shared" si="3"/>
        <v>1</v>
      </c>
      <c r="K3" s="7">
        <f t="shared" si="4"/>
        <v>17</v>
      </c>
      <c r="L3">
        <v>12.5</v>
      </c>
      <c r="M3">
        <v>26.2</v>
      </c>
      <c r="N3">
        <v>21.9</v>
      </c>
      <c r="O3">
        <v>24.2</v>
      </c>
      <c r="P3">
        <v>28.3</v>
      </c>
      <c r="Q3">
        <v>22.9</v>
      </c>
      <c r="R3">
        <v>24.3</v>
      </c>
      <c r="S3">
        <v>27.4</v>
      </c>
      <c r="T3">
        <v>25.9</v>
      </c>
      <c r="U3" t="s">
        <v>7</v>
      </c>
      <c r="V3">
        <v>19.899999999999999</v>
      </c>
      <c r="W3">
        <v>35.5</v>
      </c>
      <c r="X3">
        <v>23.9</v>
      </c>
      <c r="Y3">
        <v>8.9</v>
      </c>
      <c r="Z3">
        <v>23.9</v>
      </c>
      <c r="AA3">
        <v>24.4</v>
      </c>
      <c r="AB3">
        <v>20.2</v>
      </c>
      <c r="AC3">
        <v>1.6</v>
      </c>
    </row>
    <row r="4" spans="1:29" x14ac:dyDescent="0.25">
      <c r="A4">
        <v>3</v>
      </c>
      <c r="B4" t="s">
        <v>404</v>
      </c>
      <c r="C4" t="s">
        <v>64</v>
      </c>
      <c r="D4" s="4">
        <f t="shared" si="0"/>
        <v>19.600000000000001</v>
      </c>
      <c r="E4">
        <v>20.7</v>
      </c>
      <c r="F4">
        <v>351.8</v>
      </c>
      <c r="G4" s="7">
        <f t="shared" si="1"/>
        <v>14</v>
      </c>
      <c r="H4" s="7">
        <f t="shared" si="5"/>
        <v>8</v>
      </c>
      <c r="I4" s="7">
        <f t="shared" si="2"/>
        <v>8</v>
      </c>
      <c r="J4" s="7">
        <f t="shared" si="3"/>
        <v>2</v>
      </c>
      <c r="K4" s="7">
        <f t="shared" si="4"/>
        <v>17</v>
      </c>
      <c r="L4">
        <v>6.3</v>
      </c>
      <c r="M4">
        <v>19.600000000000001</v>
      </c>
      <c r="N4">
        <v>15.4</v>
      </c>
      <c r="O4">
        <v>14.3</v>
      </c>
      <c r="P4">
        <v>7.3</v>
      </c>
      <c r="Q4">
        <v>24.9</v>
      </c>
      <c r="R4" t="s">
        <v>7</v>
      </c>
      <c r="S4">
        <v>29.1</v>
      </c>
      <c r="T4">
        <v>28.4</v>
      </c>
      <c r="U4">
        <v>38.9</v>
      </c>
      <c r="V4">
        <v>16.2</v>
      </c>
      <c r="W4">
        <v>32.200000000000003</v>
      </c>
      <c r="X4">
        <v>28.3</v>
      </c>
      <c r="Y4">
        <v>17.899999999999999</v>
      </c>
      <c r="Z4">
        <v>7.1</v>
      </c>
      <c r="AA4">
        <v>18.600000000000001</v>
      </c>
      <c r="AB4">
        <v>21.3</v>
      </c>
      <c r="AC4">
        <v>26.2</v>
      </c>
    </row>
    <row r="5" spans="1:29" x14ac:dyDescent="0.25">
      <c r="A5">
        <v>4</v>
      </c>
      <c r="B5" t="s">
        <v>374</v>
      </c>
      <c r="C5" t="s">
        <v>12</v>
      </c>
      <c r="D5" s="4">
        <f t="shared" si="0"/>
        <v>21.05</v>
      </c>
      <c r="E5">
        <v>21.1</v>
      </c>
      <c r="F5">
        <v>338.2</v>
      </c>
      <c r="G5" s="7">
        <f t="shared" si="1"/>
        <v>15</v>
      </c>
      <c r="H5" s="7">
        <f t="shared" si="5"/>
        <v>8</v>
      </c>
      <c r="I5" s="7">
        <f t="shared" si="2"/>
        <v>8</v>
      </c>
      <c r="J5" s="7">
        <f t="shared" si="3"/>
        <v>3</v>
      </c>
      <c r="K5" s="7">
        <f t="shared" si="4"/>
        <v>16</v>
      </c>
      <c r="L5">
        <v>7.6</v>
      </c>
      <c r="M5">
        <v>22.9</v>
      </c>
      <c r="N5">
        <v>28.2</v>
      </c>
      <c r="O5">
        <v>28.1</v>
      </c>
      <c r="P5">
        <v>10.9</v>
      </c>
      <c r="Q5">
        <v>18.100000000000001</v>
      </c>
      <c r="R5">
        <v>33.9</v>
      </c>
      <c r="S5">
        <v>12</v>
      </c>
      <c r="T5">
        <v>11.5</v>
      </c>
      <c r="U5">
        <v>15</v>
      </c>
      <c r="V5">
        <v>24</v>
      </c>
      <c r="W5">
        <v>15</v>
      </c>
      <c r="X5" t="s">
        <v>7</v>
      </c>
      <c r="Y5">
        <v>32.6</v>
      </c>
      <c r="Z5">
        <v>19.5</v>
      </c>
      <c r="AA5">
        <v>22.6</v>
      </c>
      <c r="AB5">
        <v>36.299999999999997</v>
      </c>
      <c r="AC5" t="s">
        <v>8</v>
      </c>
    </row>
    <row r="6" spans="1:29" x14ac:dyDescent="0.25">
      <c r="A6">
        <v>5</v>
      </c>
      <c r="B6" t="s">
        <v>390</v>
      </c>
      <c r="C6" t="s">
        <v>16</v>
      </c>
      <c r="D6" s="4">
        <f t="shared" si="0"/>
        <v>19.600000000000001</v>
      </c>
      <c r="E6">
        <v>19.399999999999999</v>
      </c>
      <c r="F6">
        <v>330.1</v>
      </c>
      <c r="G6" s="7">
        <f t="shared" si="1"/>
        <v>15</v>
      </c>
      <c r="H6" s="7">
        <f t="shared" si="5"/>
        <v>8</v>
      </c>
      <c r="I6" s="7">
        <f t="shared" si="2"/>
        <v>8</v>
      </c>
      <c r="J6" s="7">
        <f t="shared" si="3"/>
        <v>0</v>
      </c>
      <c r="K6" s="7">
        <f t="shared" si="4"/>
        <v>17</v>
      </c>
      <c r="L6">
        <v>23</v>
      </c>
      <c r="M6">
        <v>20.3</v>
      </c>
      <c r="N6">
        <v>25.3</v>
      </c>
      <c r="O6">
        <v>19.600000000000001</v>
      </c>
      <c r="P6">
        <v>8</v>
      </c>
      <c r="Q6" t="s">
        <v>7</v>
      </c>
      <c r="R6">
        <v>16.3</v>
      </c>
      <c r="S6">
        <v>15.6</v>
      </c>
      <c r="T6">
        <v>13.8</v>
      </c>
      <c r="U6">
        <v>18.7</v>
      </c>
      <c r="V6">
        <v>20.9</v>
      </c>
      <c r="W6">
        <v>26.6</v>
      </c>
      <c r="X6">
        <v>23.7</v>
      </c>
      <c r="Y6">
        <v>9.9</v>
      </c>
      <c r="Z6">
        <v>17.5</v>
      </c>
      <c r="AA6">
        <v>24</v>
      </c>
      <c r="AB6">
        <v>28.4</v>
      </c>
      <c r="AC6">
        <v>18.5</v>
      </c>
    </row>
    <row r="7" spans="1:29" x14ac:dyDescent="0.25">
      <c r="A7">
        <v>6</v>
      </c>
      <c r="B7" t="s">
        <v>387</v>
      </c>
      <c r="C7" t="s">
        <v>76</v>
      </c>
      <c r="D7" s="4">
        <f t="shared" si="0"/>
        <v>20.3</v>
      </c>
      <c r="E7">
        <v>19.2</v>
      </c>
      <c r="F7">
        <v>306.60000000000002</v>
      </c>
      <c r="G7" s="7">
        <f t="shared" si="1"/>
        <v>14</v>
      </c>
      <c r="H7" s="7">
        <f t="shared" si="5"/>
        <v>9</v>
      </c>
      <c r="I7" s="7">
        <f t="shared" si="2"/>
        <v>9</v>
      </c>
      <c r="J7" s="7">
        <f t="shared" si="3"/>
        <v>0</v>
      </c>
      <c r="K7" s="7">
        <f t="shared" si="4"/>
        <v>16</v>
      </c>
      <c r="L7">
        <v>16.8</v>
      </c>
      <c r="M7">
        <v>14.7</v>
      </c>
      <c r="N7">
        <v>20.3</v>
      </c>
      <c r="O7">
        <v>21.3</v>
      </c>
      <c r="P7">
        <v>26.1</v>
      </c>
      <c r="Q7">
        <v>8.6999999999999993</v>
      </c>
      <c r="R7">
        <v>14.8</v>
      </c>
      <c r="S7">
        <v>20.3</v>
      </c>
      <c r="T7" t="s">
        <v>7</v>
      </c>
      <c r="U7">
        <v>23.8</v>
      </c>
      <c r="V7">
        <v>26.7</v>
      </c>
      <c r="W7">
        <v>11.5</v>
      </c>
      <c r="X7">
        <v>29.5</v>
      </c>
      <c r="Y7">
        <v>22.4</v>
      </c>
      <c r="Z7">
        <v>25.7</v>
      </c>
      <c r="AA7">
        <v>6.4</v>
      </c>
      <c r="AB7">
        <v>17.600000000000001</v>
      </c>
      <c r="AC7" t="s">
        <v>8</v>
      </c>
    </row>
    <row r="8" spans="1:29" x14ac:dyDescent="0.25">
      <c r="A8">
        <v>7</v>
      </c>
      <c r="B8" t="s">
        <v>379</v>
      </c>
      <c r="C8" t="s">
        <v>10</v>
      </c>
      <c r="D8" s="4">
        <f t="shared" si="0"/>
        <v>16.7</v>
      </c>
      <c r="E8">
        <v>17.7</v>
      </c>
      <c r="F8">
        <v>301.10000000000002</v>
      </c>
      <c r="G8" s="7">
        <f t="shared" si="1"/>
        <v>16</v>
      </c>
      <c r="H8" s="7">
        <f t="shared" si="5"/>
        <v>6</v>
      </c>
      <c r="I8" s="7">
        <f t="shared" si="2"/>
        <v>6</v>
      </c>
      <c r="J8" s="7">
        <f t="shared" si="3"/>
        <v>1</v>
      </c>
      <c r="K8" s="7">
        <f t="shared" si="4"/>
        <v>17</v>
      </c>
      <c r="L8">
        <v>14</v>
      </c>
      <c r="M8">
        <v>23.9</v>
      </c>
      <c r="N8">
        <v>19</v>
      </c>
      <c r="O8">
        <v>12.4</v>
      </c>
      <c r="P8">
        <v>27.4</v>
      </c>
      <c r="Q8">
        <v>22.4</v>
      </c>
      <c r="R8">
        <v>10.4</v>
      </c>
      <c r="S8">
        <v>13.7</v>
      </c>
      <c r="T8" t="s">
        <v>7</v>
      </c>
      <c r="U8">
        <v>21.1</v>
      </c>
      <c r="V8">
        <v>16.7</v>
      </c>
      <c r="W8">
        <v>18.2</v>
      </c>
      <c r="X8">
        <v>16.3</v>
      </c>
      <c r="Y8">
        <v>6.4</v>
      </c>
      <c r="Z8">
        <v>31.1</v>
      </c>
      <c r="AA8">
        <v>14.3</v>
      </c>
      <c r="AB8">
        <v>12.8</v>
      </c>
      <c r="AC8">
        <v>20.8</v>
      </c>
    </row>
    <row r="9" spans="1:29" x14ac:dyDescent="0.25">
      <c r="A9">
        <v>8</v>
      </c>
      <c r="B9" t="s">
        <v>384</v>
      </c>
      <c r="C9" t="s">
        <v>62</v>
      </c>
      <c r="D9" s="4">
        <f t="shared" si="0"/>
        <v>17.799999999999997</v>
      </c>
      <c r="E9">
        <v>18.399999999999999</v>
      </c>
      <c r="F9">
        <v>294.2</v>
      </c>
      <c r="G9" s="7">
        <f t="shared" si="1"/>
        <v>15</v>
      </c>
      <c r="H9" s="7">
        <f t="shared" si="5"/>
        <v>5</v>
      </c>
      <c r="I9" s="7">
        <f t="shared" si="2"/>
        <v>5</v>
      </c>
      <c r="J9" s="7">
        <f t="shared" si="3"/>
        <v>1</v>
      </c>
      <c r="K9" s="7">
        <f t="shared" si="4"/>
        <v>16</v>
      </c>
      <c r="L9">
        <v>20.5</v>
      </c>
      <c r="M9">
        <v>22.2</v>
      </c>
      <c r="N9">
        <v>25.7</v>
      </c>
      <c r="O9">
        <v>15.2</v>
      </c>
      <c r="P9">
        <v>19.2</v>
      </c>
      <c r="Q9">
        <v>18.3</v>
      </c>
      <c r="R9">
        <v>34.9</v>
      </c>
      <c r="S9">
        <v>7.6</v>
      </c>
      <c r="T9">
        <v>15.8</v>
      </c>
      <c r="U9" t="s">
        <v>7</v>
      </c>
      <c r="V9">
        <v>17.899999999999999</v>
      </c>
      <c r="W9">
        <v>20.8</v>
      </c>
      <c r="X9">
        <v>14</v>
      </c>
      <c r="Y9">
        <v>14.6</v>
      </c>
      <c r="Z9">
        <v>17.7</v>
      </c>
      <c r="AA9">
        <v>17.7</v>
      </c>
      <c r="AB9">
        <v>12</v>
      </c>
      <c r="AC9" t="s">
        <v>8</v>
      </c>
    </row>
    <row r="10" spans="1:29" x14ac:dyDescent="0.25">
      <c r="A10">
        <v>9</v>
      </c>
      <c r="B10" t="s">
        <v>395</v>
      </c>
      <c r="C10" t="s">
        <v>18</v>
      </c>
      <c r="D10" s="4">
        <f t="shared" si="0"/>
        <v>15.5</v>
      </c>
      <c r="E10">
        <v>16.7</v>
      </c>
      <c r="F10">
        <v>284.39999999999998</v>
      </c>
      <c r="G10" s="7">
        <f t="shared" si="1"/>
        <v>14</v>
      </c>
      <c r="H10" s="7">
        <f t="shared" si="5"/>
        <v>4</v>
      </c>
      <c r="I10" s="7">
        <f t="shared" si="2"/>
        <v>4</v>
      </c>
      <c r="J10" s="7">
        <f t="shared" si="3"/>
        <v>0</v>
      </c>
      <c r="K10" s="7">
        <f t="shared" si="4"/>
        <v>17</v>
      </c>
      <c r="L10">
        <v>28.1</v>
      </c>
      <c r="M10">
        <v>13.3</v>
      </c>
      <c r="N10">
        <v>28.4</v>
      </c>
      <c r="O10">
        <v>15</v>
      </c>
      <c r="P10">
        <v>18.899999999999999</v>
      </c>
      <c r="Q10">
        <v>22.5</v>
      </c>
      <c r="R10">
        <v>11.3</v>
      </c>
      <c r="S10">
        <v>22.8</v>
      </c>
      <c r="T10">
        <v>12.4</v>
      </c>
      <c r="U10" t="s">
        <v>7</v>
      </c>
      <c r="V10">
        <v>18.600000000000001</v>
      </c>
      <c r="W10">
        <v>9.8000000000000007</v>
      </c>
      <c r="X10">
        <v>19.2</v>
      </c>
      <c r="Y10">
        <v>9.1</v>
      </c>
      <c r="Z10">
        <v>13</v>
      </c>
      <c r="AA10">
        <v>15.5</v>
      </c>
      <c r="AB10">
        <v>16.899999999999999</v>
      </c>
      <c r="AC10">
        <v>9.6</v>
      </c>
    </row>
    <row r="11" spans="1:29" x14ac:dyDescent="0.25">
      <c r="A11">
        <v>10</v>
      </c>
      <c r="B11" t="s">
        <v>377</v>
      </c>
      <c r="C11" t="s">
        <v>34</v>
      </c>
      <c r="D11" s="4">
        <f t="shared" si="0"/>
        <v>18.3</v>
      </c>
      <c r="E11">
        <v>16.7</v>
      </c>
      <c r="F11">
        <v>284.10000000000002</v>
      </c>
      <c r="G11" s="7">
        <f t="shared" si="1"/>
        <v>15</v>
      </c>
      <c r="H11" s="7">
        <f t="shared" si="5"/>
        <v>4</v>
      </c>
      <c r="I11" s="7">
        <f t="shared" si="2"/>
        <v>4</v>
      </c>
      <c r="J11" s="7">
        <f t="shared" si="3"/>
        <v>0</v>
      </c>
      <c r="K11" s="7">
        <f t="shared" si="4"/>
        <v>17</v>
      </c>
      <c r="L11">
        <v>16</v>
      </c>
      <c r="M11">
        <v>18.399999999999999</v>
      </c>
      <c r="N11">
        <v>11</v>
      </c>
      <c r="O11">
        <v>23.9</v>
      </c>
      <c r="P11" t="s">
        <v>7</v>
      </c>
      <c r="Q11">
        <v>7.8</v>
      </c>
      <c r="R11">
        <v>17.2</v>
      </c>
      <c r="S11">
        <v>21.4</v>
      </c>
      <c r="T11">
        <v>19</v>
      </c>
      <c r="U11">
        <v>19.3</v>
      </c>
      <c r="V11">
        <v>11.3</v>
      </c>
      <c r="W11">
        <v>14.4</v>
      </c>
      <c r="X11">
        <v>10.9</v>
      </c>
      <c r="Y11">
        <v>20.100000000000001</v>
      </c>
      <c r="Z11">
        <v>29</v>
      </c>
      <c r="AA11">
        <v>19.8</v>
      </c>
      <c r="AB11">
        <v>18.3</v>
      </c>
      <c r="AC11">
        <v>6.2</v>
      </c>
    </row>
    <row r="12" spans="1:29" x14ac:dyDescent="0.25">
      <c r="A12">
        <v>11</v>
      </c>
      <c r="B12" t="s">
        <v>391</v>
      </c>
      <c r="C12" t="s">
        <v>32</v>
      </c>
      <c r="D12" s="4">
        <f t="shared" si="0"/>
        <v>18.3</v>
      </c>
      <c r="E12">
        <v>18.7</v>
      </c>
      <c r="F12">
        <v>280</v>
      </c>
      <c r="G12" s="7">
        <f t="shared" si="1"/>
        <v>13</v>
      </c>
      <c r="H12" s="7">
        <f t="shared" si="5"/>
        <v>7</v>
      </c>
      <c r="I12" s="7">
        <f t="shared" si="2"/>
        <v>7</v>
      </c>
      <c r="J12" s="7">
        <f t="shared" si="3"/>
        <v>2</v>
      </c>
      <c r="K12" s="7">
        <f t="shared" si="4"/>
        <v>15</v>
      </c>
      <c r="L12">
        <v>9.6999999999999993</v>
      </c>
      <c r="M12">
        <v>21.5</v>
      </c>
      <c r="N12">
        <v>20.6</v>
      </c>
      <c r="O12">
        <v>21.8</v>
      </c>
      <c r="P12">
        <v>14.2</v>
      </c>
      <c r="Q12">
        <v>15.2</v>
      </c>
      <c r="R12" t="s">
        <v>7</v>
      </c>
      <c r="S12">
        <v>12.9</v>
      </c>
      <c r="T12">
        <v>41.8</v>
      </c>
      <c r="U12">
        <v>20</v>
      </c>
      <c r="V12">
        <v>18.3</v>
      </c>
      <c r="W12">
        <v>30.9</v>
      </c>
      <c r="X12">
        <v>16.100000000000001</v>
      </c>
      <c r="Y12">
        <v>3.6</v>
      </c>
      <c r="Z12" t="s">
        <v>8</v>
      </c>
      <c r="AA12" t="s">
        <v>8</v>
      </c>
      <c r="AB12">
        <v>12.9</v>
      </c>
      <c r="AC12">
        <v>20.6</v>
      </c>
    </row>
    <row r="13" spans="1:29" x14ac:dyDescent="0.25">
      <c r="A13">
        <v>12</v>
      </c>
      <c r="B13" t="s">
        <v>448</v>
      </c>
      <c r="C13" t="s">
        <v>38</v>
      </c>
      <c r="D13" s="4">
        <f t="shared" si="0"/>
        <v>18.3</v>
      </c>
      <c r="E13">
        <v>16.3</v>
      </c>
      <c r="F13">
        <v>277.5</v>
      </c>
      <c r="G13" s="7">
        <f t="shared" si="1"/>
        <v>12</v>
      </c>
      <c r="H13" s="7">
        <f t="shared" si="5"/>
        <v>6</v>
      </c>
      <c r="I13" s="7">
        <f t="shared" si="2"/>
        <v>6</v>
      </c>
      <c r="J13" s="7">
        <f t="shared" si="3"/>
        <v>1</v>
      </c>
      <c r="K13" s="7">
        <f t="shared" si="4"/>
        <v>17</v>
      </c>
      <c r="L13">
        <v>16.2</v>
      </c>
      <c r="M13">
        <v>21.3</v>
      </c>
      <c r="N13">
        <v>4.5999999999999996</v>
      </c>
      <c r="O13">
        <v>19.600000000000001</v>
      </c>
      <c r="P13">
        <v>26.4</v>
      </c>
      <c r="Q13">
        <v>18.3</v>
      </c>
      <c r="R13">
        <v>10.5</v>
      </c>
      <c r="S13">
        <v>32</v>
      </c>
      <c r="T13">
        <v>18.7</v>
      </c>
      <c r="U13">
        <v>24.2</v>
      </c>
      <c r="V13">
        <v>20.7</v>
      </c>
      <c r="W13">
        <v>18.3</v>
      </c>
      <c r="X13">
        <v>20.2</v>
      </c>
      <c r="Y13" t="s">
        <v>8</v>
      </c>
      <c r="Z13">
        <v>9.3000000000000007</v>
      </c>
      <c r="AA13">
        <v>0.2</v>
      </c>
      <c r="AB13">
        <v>8.6999999999999993</v>
      </c>
      <c r="AC13">
        <v>8.4</v>
      </c>
    </row>
    <row r="14" spans="1:29" x14ac:dyDescent="0.25">
      <c r="A14">
        <v>13</v>
      </c>
      <c r="B14" t="s">
        <v>400</v>
      </c>
      <c r="C14" t="s">
        <v>66</v>
      </c>
      <c r="D14" s="4">
        <f t="shared" si="0"/>
        <v>16.100000000000001</v>
      </c>
      <c r="E14">
        <v>17.3</v>
      </c>
      <c r="F14">
        <v>276.5</v>
      </c>
      <c r="G14" s="7">
        <f t="shared" si="1"/>
        <v>14</v>
      </c>
      <c r="H14" s="7">
        <f t="shared" si="5"/>
        <v>4</v>
      </c>
      <c r="I14" s="7">
        <f t="shared" si="2"/>
        <v>4</v>
      </c>
      <c r="J14" s="7">
        <f t="shared" si="3"/>
        <v>1</v>
      </c>
      <c r="K14" s="7">
        <f t="shared" si="4"/>
        <v>16</v>
      </c>
      <c r="L14">
        <v>18.7</v>
      </c>
      <c r="M14">
        <v>9.1999999999999993</v>
      </c>
      <c r="N14">
        <v>15.4</v>
      </c>
      <c r="O14">
        <v>16.5</v>
      </c>
      <c r="P14">
        <v>15.7</v>
      </c>
      <c r="Q14">
        <v>15.7</v>
      </c>
      <c r="R14">
        <v>18.100000000000001</v>
      </c>
      <c r="S14">
        <v>15.7</v>
      </c>
      <c r="T14" t="s">
        <v>7</v>
      </c>
      <c r="U14">
        <v>4.0999999999999996</v>
      </c>
      <c r="V14">
        <v>32.200000000000003</v>
      </c>
      <c r="W14">
        <v>25.6</v>
      </c>
      <c r="X14">
        <v>25.1</v>
      </c>
      <c r="Y14">
        <v>20.399999999999999</v>
      </c>
      <c r="Z14">
        <v>14.7</v>
      </c>
      <c r="AA14">
        <v>11.3</v>
      </c>
      <c r="AB14" t="s">
        <v>8</v>
      </c>
      <c r="AC14">
        <v>18.2</v>
      </c>
    </row>
    <row r="15" spans="1:29" x14ac:dyDescent="0.25">
      <c r="A15">
        <v>14</v>
      </c>
      <c r="B15" t="s">
        <v>397</v>
      </c>
      <c r="C15" t="s">
        <v>55</v>
      </c>
      <c r="D15" s="4">
        <f t="shared" si="0"/>
        <v>17.5</v>
      </c>
      <c r="E15">
        <v>17.7</v>
      </c>
      <c r="F15">
        <v>264.89999999999998</v>
      </c>
      <c r="G15" s="7">
        <f t="shared" si="1"/>
        <v>14</v>
      </c>
      <c r="H15" s="7">
        <f t="shared" si="5"/>
        <v>3</v>
      </c>
      <c r="I15" s="7">
        <f t="shared" si="2"/>
        <v>3</v>
      </c>
      <c r="J15" s="7">
        <f t="shared" si="3"/>
        <v>0</v>
      </c>
      <c r="K15" s="7">
        <f t="shared" si="4"/>
        <v>15</v>
      </c>
      <c r="L15">
        <v>15.2</v>
      </c>
      <c r="M15">
        <v>26.9</v>
      </c>
      <c r="N15">
        <v>15.2</v>
      </c>
      <c r="O15">
        <v>22.2</v>
      </c>
      <c r="P15">
        <v>18.7</v>
      </c>
      <c r="Q15">
        <v>8.9</v>
      </c>
      <c r="R15">
        <v>13.9</v>
      </c>
      <c r="S15">
        <v>17.600000000000001</v>
      </c>
      <c r="T15" t="s">
        <v>8</v>
      </c>
      <c r="U15">
        <v>18.7</v>
      </c>
      <c r="V15">
        <v>14.5</v>
      </c>
      <c r="W15">
        <v>16.8</v>
      </c>
      <c r="X15">
        <v>18.8</v>
      </c>
      <c r="Y15">
        <v>16.5</v>
      </c>
      <c r="Z15">
        <v>17.5</v>
      </c>
      <c r="AA15">
        <v>23.5</v>
      </c>
      <c r="AB15" t="s">
        <v>8</v>
      </c>
      <c r="AC15" t="s">
        <v>8</v>
      </c>
    </row>
    <row r="16" spans="1:29" x14ac:dyDescent="0.25">
      <c r="A16">
        <v>15</v>
      </c>
      <c r="B16" t="s">
        <v>392</v>
      </c>
      <c r="C16" t="s">
        <v>20</v>
      </c>
      <c r="D16" s="4">
        <f t="shared" si="0"/>
        <v>16</v>
      </c>
      <c r="E16">
        <v>16.899999999999999</v>
      </c>
      <c r="F16">
        <v>254.1</v>
      </c>
      <c r="G16" s="7">
        <f t="shared" si="1"/>
        <v>15</v>
      </c>
      <c r="H16" s="7">
        <f t="shared" si="5"/>
        <v>4</v>
      </c>
      <c r="I16" s="7">
        <f t="shared" si="2"/>
        <v>4</v>
      </c>
      <c r="J16" s="7">
        <f t="shared" si="3"/>
        <v>0</v>
      </c>
      <c r="K16" s="7">
        <f t="shared" si="4"/>
        <v>15</v>
      </c>
      <c r="L16">
        <v>14.5</v>
      </c>
      <c r="M16">
        <v>16</v>
      </c>
      <c r="N16">
        <v>13.5</v>
      </c>
      <c r="O16">
        <v>17.2</v>
      </c>
      <c r="P16">
        <v>16.899999999999999</v>
      </c>
      <c r="Q16">
        <v>13.2</v>
      </c>
      <c r="R16">
        <v>15</v>
      </c>
      <c r="S16">
        <v>12.4</v>
      </c>
      <c r="T16" t="s">
        <v>8</v>
      </c>
      <c r="U16" t="s">
        <v>7</v>
      </c>
      <c r="V16">
        <v>10.7</v>
      </c>
      <c r="W16">
        <v>24.4</v>
      </c>
      <c r="X16">
        <v>23</v>
      </c>
      <c r="Y16">
        <v>23.7</v>
      </c>
      <c r="Z16">
        <v>18.5</v>
      </c>
      <c r="AA16">
        <v>20.7</v>
      </c>
      <c r="AB16">
        <v>14.6</v>
      </c>
      <c r="AC16" t="s">
        <v>8</v>
      </c>
    </row>
    <row r="17" spans="1:31" x14ac:dyDescent="0.25">
      <c r="A17">
        <v>16</v>
      </c>
      <c r="B17" t="s">
        <v>399</v>
      </c>
      <c r="C17" t="s">
        <v>90</v>
      </c>
      <c r="D17" s="4">
        <f t="shared" si="0"/>
        <v>15.6</v>
      </c>
      <c r="E17">
        <v>14.7</v>
      </c>
      <c r="F17">
        <v>249.1</v>
      </c>
      <c r="G17" s="7">
        <f t="shared" si="1"/>
        <v>12</v>
      </c>
      <c r="H17" s="7">
        <f t="shared" si="5"/>
        <v>3</v>
      </c>
      <c r="I17" s="7">
        <f t="shared" si="2"/>
        <v>3</v>
      </c>
      <c r="J17" s="7">
        <f t="shared" si="3"/>
        <v>0</v>
      </c>
      <c r="K17" s="7">
        <f t="shared" si="4"/>
        <v>17</v>
      </c>
      <c r="L17">
        <v>15.6</v>
      </c>
      <c r="M17">
        <v>7.7</v>
      </c>
      <c r="N17">
        <v>8.1</v>
      </c>
      <c r="O17">
        <v>3.2</v>
      </c>
      <c r="P17">
        <v>15.7</v>
      </c>
      <c r="Q17">
        <v>17.3</v>
      </c>
      <c r="R17">
        <v>18.399999999999999</v>
      </c>
      <c r="S17">
        <v>18.3</v>
      </c>
      <c r="T17">
        <v>16.7</v>
      </c>
      <c r="U17">
        <v>5.4</v>
      </c>
      <c r="V17" t="s">
        <v>8</v>
      </c>
      <c r="W17">
        <v>11.9</v>
      </c>
      <c r="X17">
        <v>9.9</v>
      </c>
      <c r="Y17">
        <v>11.8</v>
      </c>
      <c r="Z17">
        <v>20.3</v>
      </c>
      <c r="AA17">
        <v>26</v>
      </c>
      <c r="AB17">
        <v>15.6</v>
      </c>
      <c r="AC17">
        <v>27.2</v>
      </c>
    </row>
    <row r="18" spans="1:31" x14ac:dyDescent="0.25">
      <c r="A18">
        <v>17</v>
      </c>
      <c r="B18" t="s">
        <v>385</v>
      </c>
      <c r="C18" t="s">
        <v>45</v>
      </c>
      <c r="D18" s="4">
        <f t="shared" si="0"/>
        <v>20.9</v>
      </c>
      <c r="E18">
        <v>18.5</v>
      </c>
      <c r="F18">
        <v>240.2</v>
      </c>
      <c r="G18" s="7">
        <f t="shared" si="1"/>
        <v>10</v>
      </c>
      <c r="H18" s="7">
        <f t="shared" si="5"/>
        <v>7</v>
      </c>
      <c r="I18" s="7">
        <f t="shared" si="2"/>
        <v>7</v>
      </c>
      <c r="J18" s="7">
        <f t="shared" si="3"/>
        <v>0</v>
      </c>
      <c r="K18" s="7">
        <f t="shared" si="4"/>
        <v>13</v>
      </c>
      <c r="L18">
        <v>20.9</v>
      </c>
      <c r="M18">
        <v>22.2</v>
      </c>
      <c r="N18">
        <v>29.3</v>
      </c>
      <c r="O18">
        <v>24.4</v>
      </c>
      <c r="P18" t="s">
        <v>7</v>
      </c>
      <c r="Q18">
        <v>19.100000000000001</v>
      </c>
      <c r="R18">
        <v>12.9</v>
      </c>
      <c r="S18">
        <v>24</v>
      </c>
      <c r="T18">
        <v>7.1</v>
      </c>
      <c r="U18">
        <v>29.4</v>
      </c>
      <c r="V18">
        <v>25.7</v>
      </c>
      <c r="W18">
        <v>14.4</v>
      </c>
      <c r="X18">
        <v>8</v>
      </c>
      <c r="Y18">
        <v>2.8</v>
      </c>
      <c r="Z18" t="s">
        <v>8</v>
      </c>
      <c r="AA18" t="s">
        <v>8</v>
      </c>
      <c r="AB18" t="s">
        <v>8</v>
      </c>
      <c r="AC18" t="s">
        <v>8</v>
      </c>
    </row>
    <row r="19" spans="1:31" x14ac:dyDescent="0.25">
      <c r="A19">
        <v>18</v>
      </c>
      <c r="B19" t="s">
        <v>405</v>
      </c>
      <c r="C19" t="s">
        <v>40</v>
      </c>
      <c r="D19" s="4">
        <f t="shared" si="0"/>
        <v>16.7</v>
      </c>
      <c r="E19">
        <v>18.399999999999999</v>
      </c>
      <c r="F19">
        <v>239.2</v>
      </c>
      <c r="G19" s="7">
        <f t="shared" si="1"/>
        <v>11</v>
      </c>
      <c r="H19" s="7">
        <f t="shared" si="5"/>
        <v>6</v>
      </c>
      <c r="I19" s="7">
        <f t="shared" si="2"/>
        <v>6</v>
      </c>
      <c r="J19" s="7">
        <f t="shared" si="3"/>
        <v>1</v>
      </c>
      <c r="K19" s="7">
        <f t="shared" si="4"/>
        <v>13</v>
      </c>
      <c r="L19">
        <v>15.5</v>
      </c>
      <c r="M19">
        <v>16.7</v>
      </c>
      <c r="N19">
        <v>11.7</v>
      </c>
      <c r="O19">
        <v>28.9</v>
      </c>
      <c r="P19">
        <v>33</v>
      </c>
      <c r="Q19">
        <v>5.9</v>
      </c>
      <c r="R19" t="s">
        <v>7</v>
      </c>
      <c r="S19" t="s">
        <v>8</v>
      </c>
      <c r="T19" t="s">
        <v>8</v>
      </c>
      <c r="U19" t="s">
        <v>8</v>
      </c>
      <c r="V19">
        <v>21.2</v>
      </c>
      <c r="W19">
        <v>10.6</v>
      </c>
      <c r="X19" t="s">
        <v>8</v>
      </c>
      <c r="Y19">
        <v>24.7</v>
      </c>
      <c r="Z19">
        <v>11.6</v>
      </c>
      <c r="AA19">
        <v>25.5</v>
      </c>
      <c r="AB19">
        <v>25.2</v>
      </c>
      <c r="AC19">
        <v>8.6</v>
      </c>
    </row>
    <row r="20" spans="1:31" x14ac:dyDescent="0.25">
      <c r="A20">
        <v>19</v>
      </c>
      <c r="B20" t="s">
        <v>386</v>
      </c>
      <c r="C20" t="s">
        <v>97</v>
      </c>
      <c r="D20" s="4">
        <f t="shared" si="0"/>
        <v>15.9</v>
      </c>
      <c r="E20">
        <v>15.7</v>
      </c>
      <c r="F20">
        <v>235.3</v>
      </c>
      <c r="G20" s="7">
        <f t="shared" si="1"/>
        <v>11</v>
      </c>
      <c r="H20" s="7">
        <f t="shared" si="5"/>
        <v>4</v>
      </c>
      <c r="I20" s="7">
        <f t="shared" si="2"/>
        <v>4</v>
      </c>
      <c r="J20" s="7">
        <f t="shared" si="3"/>
        <v>1</v>
      </c>
      <c r="K20" s="7">
        <f t="shared" si="4"/>
        <v>15</v>
      </c>
      <c r="L20">
        <v>9.1</v>
      </c>
      <c r="M20">
        <v>23.1</v>
      </c>
      <c r="N20">
        <v>16.399999999999999</v>
      </c>
      <c r="O20">
        <v>8.1999999999999993</v>
      </c>
      <c r="P20" t="s">
        <v>8</v>
      </c>
      <c r="Q20">
        <v>13</v>
      </c>
      <c r="R20">
        <v>14.8</v>
      </c>
      <c r="S20">
        <v>15.9</v>
      </c>
      <c r="T20">
        <v>3.7</v>
      </c>
      <c r="U20">
        <v>24.1</v>
      </c>
      <c r="V20">
        <v>13.2</v>
      </c>
      <c r="W20">
        <v>8.3000000000000007</v>
      </c>
      <c r="X20">
        <v>31</v>
      </c>
      <c r="Y20" t="s">
        <v>8</v>
      </c>
      <c r="Z20" t="s">
        <v>8</v>
      </c>
      <c r="AA20">
        <v>17.3</v>
      </c>
      <c r="AB20">
        <v>16.899999999999999</v>
      </c>
      <c r="AC20">
        <v>20.399999999999999</v>
      </c>
    </row>
    <row r="21" spans="1:31" x14ac:dyDescent="0.25">
      <c r="A21">
        <v>20</v>
      </c>
      <c r="B21" t="s">
        <v>421</v>
      </c>
      <c r="C21" t="s">
        <v>57</v>
      </c>
      <c r="D21" s="4">
        <f t="shared" si="0"/>
        <v>17.100000000000001</v>
      </c>
      <c r="E21">
        <v>16.2</v>
      </c>
      <c r="F21">
        <v>210.7</v>
      </c>
      <c r="G21" s="7">
        <f t="shared" si="1"/>
        <v>10</v>
      </c>
      <c r="H21" s="7">
        <f t="shared" si="5"/>
        <v>5</v>
      </c>
      <c r="I21" s="7">
        <f t="shared" si="2"/>
        <v>5</v>
      </c>
      <c r="J21" s="7">
        <f t="shared" si="3"/>
        <v>0</v>
      </c>
      <c r="K21" s="7">
        <f t="shared" si="4"/>
        <v>13</v>
      </c>
      <c r="L21">
        <v>1</v>
      </c>
      <c r="M21">
        <v>25.2</v>
      </c>
      <c r="N21">
        <v>17.100000000000001</v>
      </c>
      <c r="O21">
        <v>23.4</v>
      </c>
      <c r="P21">
        <v>10.7</v>
      </c>
      <c r="Q21">
        <v>11.1</v>
      </c>
      <c r="R21">
        <v>16.100000000000001</v>
      </c>
      <c r="S21">
        <v>24.9</v>
      </c>
      <c r="T21">
        <v>24.9</v>
      </c>
      <c r="U21">
        <v>25.1</v>
      </c>
      <c r="V21">
        <v>17.899999999999999</v>
      </c>
      <c r="W21">
        <v>8.5</v>
      </c>
      <c r="X21" t="s">
        <v>8</v>
      </c>
      <c r="Y21">
        <v>4.5999999999999996</v>
      </c>
      <c r="Z21" t="s">
        <v>8</v>
      </c>
      <c r="AA21" t="s">
        <v>8</v>
      </c>
      <c r="AB21" t="s">
        <v>8</v>
      </c>
      <c r="AC21" t="s">
        <v>8</v>
      </c>
      <c r="AE21" s="3">
        <f>MEDIAN(L2:AC46)</f>
        <v>16</v>
      </c>
    </row>
    <row r="22" spans="1:31" x14ac:dyDescent="0.25">
      <c r="A22">
        <v>21</v>
      </c>
      <c r="B22" t="s">
        <v>407</v>
      </c>
      <c r="C22" t="s">
        <v>62</v>
      </c>
      <c r="D22" s="4">
        <f t="shared" si="0"/>
        <v>12.85</v>
      </c>
      <c r="E22">
        <v>12.8</v>
      </c>
      <c r="F22">
        <v>205.2</v>
      </c>
      <c r="G22" s="7">
        <f t="shared" si="1"/>
        <v>11</v>
      </c>
      <c r="H22" s="7">
        <f t="shared" si="5"/>
        <v>2</v>
      </c>
      <c r="I22" s="7">
        <f t="shared" si="2"/>
        <v>2</v>
      </c>
      <c r="J22" s="7">
        <f t="shared" si="3"/>
        <v>0</v>
      </c>
      <c r="K22" s="7">
        <f t="shared" si="4"/>
        <v>16</v>
      </c>
      <c r="L22">
        <v>0</v>
      </c>
      <c r="M22">
        <v>11.1</v>
      </c>
      <c r="N22">
        <v>13.1</v>
      </c>
      <c r="O22" t="s">
        <v>8</v>
      </c>
      <c r="P22">
        <v>6.3</v>
      </c>
      <c r="Q22">
        <v>12.6</v>
      </c>
      <c r="R22">
        <v>28.1</v>
      </c>
      <c r="S22">
        <v>15.8</v>
      </c>
      <c r="T22">
        <v>9.6</v>
      </c>
      <c r="U22">
        <v>6.7</v>
      </c>
      <c r="V22" t="s">
        <v>8</v>
      </c>
      <c r="W22">
        <v>15.6</v>
      </c>
      <c r="X22">
        <v>18.7</v>
      </c>
      <c r="Y22">
        <v>15.1</v>
      </c>
      <c r="Z22">
        <v>20.6</v>
      </c>
      <c r="AA22">
        <v>10.1</v>
      </c>
      <c r="AB22">
        <v>13.3</v>
      </c>
      <c r="AC22">
        <v>8.5</v>
      </c>
    </row>
    <row r="23" spans="1:31" x14ac:dyDescent="0.25">
      <c r="A23">
        <v>22</v>
      </c>
      <c r="B23" t="s">
        <v>424</v>
      </c>
      <c r="C23" t="s">
        <v>30</v>
      </c>
      <c r="D23" s="4">
        <f t="shared" si="0"/>
        <v>8.9</v>
      </c>
      <c r="E23">
        <v>12.5</v>
      </c>
      <c r="F23">
        <v>188.1</v>
      </c>
      <c r="G23" s="7">
        <f t="shared" si="1"/>
        <v>7</v>
      </c>
      <c r="H23" s="7">
        <f t="shared" si="5"/>
        <v>3</v>
      </c>
      <c r="I23" s="7">
        <f t="shared" si="2"/>
        <v>3</v>
      </c>
      <c r="J23" s="7">
        <f t="shared" si="3"/>
        <v>0</v>
      </c>
      <c r="K23" s="7">
        <f t="shared" si="4"/>
        <v>15</v>
      </c>
      <c r="L23">
        <v>7.9</v>
      </c>
      <c r="M23">
        <v>22.4</v>
      </c>
      <c r="N23">
        <v>6.3</v>
      </c>
      <c r="O23">
        <v>8.1999999999999993</v>
      </c>
      <c r="P23">
        <v>26.2</v>
      </c>
      <c r="Q23">
        <v>19.100000000000001</v>
      </c>
      <c r="R23">
        <v>13.8</v>
      </c>
      <c r="S23">
        <v>3.4</v>
      </c>
      <c r="T23" t="s">
        <v>8</v>
      </c>
      <c r="U23">
        <v>8.6999999999999993</v>
      </c>
      <c r="V23" t="s">
        <v>8</v>
      </c>
      <c r="W23">
        <v>11.7</v>
      </c>
      <c r="X23">
        <v>8.8000000000000007</v>
      </c>
      <c r="Y23">
        <v>26.4</v>
      </c>
      <c r="Z23">
        <v>8.9</v>
      </c>
      <c r="AA23" t="s">
        <v>8</v>
      </c>
      <c r="AB23">
        <v>-0.3</v>
      </c>
      <c r="AC23">
        <v>16.600000000000001</v>
      </c>
    </row>
    <row r="24" spans="1:31" x14ac:dyDescent="0.25">
      <c r="A24">
        <v>23</v>
      </c>
      <c r="B24" t="s">
        <v>393</v>
      </c>
      <c r="C24" t="s">
        <v>36</v>
      </c>
      <c r="D24" s="4">
        <f t="shared" si="0"/>
        <v>8.6499999999999986</v>
      </c>
      <c r="E24">
        <v>10.4</v>
      </c>
      <c r="F24">
        <v>166.4</v>
      </c>
      <c r="G24" s="7">
        <f t="shared" si="1"/>
        <v>6</v>
      </c>
      <c r="H24" s="7">
        <f t="shared" si="5"/>
        <v>2</v>
      </c>
      <c r="I24" s="7">
        <f t="shared" si="2"/>
        <v>2</v>
      </c>
      <c r="J24" s="7">
        <f t="shared" si="3"/>
        <v>0</v>
      </c>
      <c r="K24" s="7">
        <f t="shared" si="4"/>
        <v>16</v>
      </c>
      <c r="L24">
        <v>9.5</v>
      </c>
      <c r="M24">
        <v>13.5</v>
      </c>
      <c r="N24" t="s">
        <v>8</v>
      </c>
      <c r="O24">
        <v>7.2</v>
      </c>
      <c r="P24">
        <v>20.3</v>
      </c>
      <c r="Q24">
        <v>12.7</v>
      </c>
      <c r="R24" t="s">
        <v>7</v>
      </c>
      <c r="S24">
        <v>14.5</v>
      </c>
      <c r="T24">
        <v>12</v>
      </c>
      <c r="U24">
        <v>9.1999999999999993</v>
      </c>
      <c r="V24">
        <v>6.2</v>
      </c>
      <c r="W24">
        <v>8.1</v>
      </c>
      <c r="X24">
        <v>8.1</v>
      </c>
      <c r="Y24">
        <v>7.5</v>
      </c>
      <c r="Z24">
        <v>7.6</v>
      </c>
      <c r="AA24">
        <v>22.2</v>
      </c>
      <c r="AB24">
        <v>3.7</v>
      </c>
      <c r="AC24">
        <v>4.2</v>
      </c>
    </row>
    <row r="25" spans="1:31" x14ac:dyDescent="0.25">
      <c r="A25">
        <v>24</v>
      </c>
      <c r="B25" t="s">
        <v>394</v>
      </c>
      <c r="C25" t="s">
        <v>14</v>
      </c>
      <c r="D25" s="4">
        <f t="shared" si="0"/>
        <v>19.899999999999999</v>
      </c>
      <c r="E25">
        <v>19.3</v>
      </c>
      <c r="F25">
        <v>154.69999999999999</v>
      </c>
      <c r="G25" s="7">
        <f t="shared" si="1"/>
        <v>7</v>
      </c>
      <c r="H25" s="7">
        <f t="shared" si="5"/>
        <v>3</v>
      </c>
      <c r="I25" s="7">
        <f t="shared" si="2"/>
        <v>3</v>
      </c>
      <c r="J25" s="7">
        <f t="shared" si="3"/>
        <v>0</v>
      </c>
      <c r="K25" s="7">
        <f t="shared" si="4"/>
        <v>8</v>
      </c>
      <c r="L25">
        <v>17.5</v>
      </c>
      <c r="M25">
        <v>28.6</v>
      </c>
      <c r="N25">
        <v>26.7</v>
      </c>
      <c r="O25">
        <v>11.6</v>
      </c>
      <c r="P25">
        <v>19.899999999999999</v>
      </c>
      <c r="Q25">
        <v>8.6999999999999993</v>
      </c>
      <c r="R25">
        <v>22</v>
      </c>
      <c r="S25">
        <v>19.899999999999999</v>
      </c>
      <c r="T25" t="s">
        <v>8</v>
      </c>
      <c r="U25" t="s">
        <v>8</v>
      </c>
      <c r="V25" t="s">
        <v>7</v>
      </c>
      <c r="W25" t="s">
        <v>8</v>
      </c>
      <c r="X25" t="s">
        <v>8</v>
      </c>
      <c r="Y25" t="s">
        <v>8</v>
      </c>
      <c r="Z25" t="s">
        <v>8</v>
      </c>
      <c r="AA25" t="s">
        <v>8</v>
      </c>
      <c r="AB25" t="s">
        <v>8</v>
      </c>
      <c r="AC25" t="s">
        <v>8</v>
      </c>
    </row>
    <row r="26" spans="1:31" x14ac:dyDescent="0.25">
      <c r="A26">
        <v>25</v>
      </c>
      <c r="B26" t="s">
        <v>376</v>
      </c>
      <c r="C26" t="s">
        <v>30</v>
      </c>
      <c r="D26" s="4">
        <f t="shared" si="0"/>
        <v>15.6</v>
      </c>
      <c r="E26">
        <v>15.3</v>
      </c>
      <c r="F26">
        <v>153.19999999999999</v>
      </c>
      <c r="G26" s="7">
        <f t="shared" si="1"/>
        <v>6</v>
      </c>
      <c r="H26" s="7">
        <f t="shared" si="5"/>
        <v>4</v>
      </c>
      <c r="I26" s="7">
        <f t="shared" si="2"/>
        <v>4</v>
      </c>
      <c r="J26" s="7">
        <f t="shared" si="3"/>
        <v>0</v>
      </c>
      <c r="K26" s="7">
        <f t="shared" si="4"/>
        <v>10</v>
      </c>
      <c r="L26">
        <v>3.2</v>
      </c>
      <c r="M26">
        <v>16.399999999999999</v>
      </c>
      <c r="N26">
        <v>9.1999999999999993</v>
      </c>
      <c r="O26">
        <v>4.7</v>
      </c>
      <c r="P26">
        <v>24.4</v>
      </c>
      <c r="Q26">
        <v>14.8</v>
      </c>
      <c r="R26" t="s">
        <v>7</v>
      </c>
      <c r="S26">
        <v>27.6</v>
      </c>
      <c r="T26">
        <v>22.3</v>
      </c>
      <c r="U26">
        <v>21.9</v>
      </c>
      <c r="V26">
        <v>8.6999999999999993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</row>
    <row r="27" spans="1:31" x14ac:dyDescent="0.25">
      <c r="A27">
        <v>26</v>
      </c>
      <c r="B27" t="s">
        <v>383</v>
      </c>
      <c r="C27" t="s">
        <v>28</v>
      </c>
      <c r="D27" s="4">
        <f t="shared" si="0"/>
        <v>19.350000000000001</v>
      </c>
      <c r="E27">
        <v>18.899999999999999</v>
      </c>
      <c r="F27">
        <v>151.4</v>
      </c>
      <c r="G27" s="7">
        <f t="shared" si="1"/>
        <v>8</v>
      </c>
      <c r="H27" s="7">
        <f t="shared" si="5"/>
        <v>4</v>
      </c>
      <c r="I27" s="7">
        <f t="shared" si="2"/>
        <v>4</v>
      </c>
      <c r="J27" s="7">
        <f t="shared" si="3"/>
        <v>0</v>
      </c>
      <c r="K27" s="7">
        <f t="shared" si="4"/>
        <v>8</v>
      </c>
      <c r="L27" t="s">
        <v>8</v>
      </c>
      <c r="M27" t="s">
        <v>8</v>
      </c>
      <c r="N27" t="s">
        <v>8</v>
      </c>
      <c r="O27" t="s">
        <v>8</v>
      </c>
      <c r="P27" t="s">
        <v>8</v>
      </c>
      <c r="Q27" t="s">
        <v>8</v>
      </c>
      <c r="R27" t="s">
        <v>8</v>
      </c>
      <c r="S27" t="s">
        <v>8</v>
      </c>
      <c r="T27" t="s">
        <v>8</v>
      </c>
      <c r="U27">
        <v>18.3</v>
      </c>
      <c r="V27">
        <v>22.7</v>
      </c>
      <c r="W27">
        <v>20.399999999999999</v>
      </c>
      <c r="X27">
        <v>11.8</v>
      </c>
      <c r="Y27" t="s">
        <v>7</v>
      </c>
      <c r="Z27">
        <v>15.3</v>
      </c>
      <c r="AA27">
        <v>20.399999999999999</v>
      </c>
      <c r="AB27">
        <v>24.7</v>
      </c>
      <c r="AC27">
        <v>17.8</v>
      </c>
    </row>
    <row r="28" spans="1:31" x14ac:dyDescent="0.25">
      <c r="A28">
        <v>27</v>
      </c>
      <c r="B28" t="s">
        <v>458</v>
      </c>
      <c r="C28" t="s">
        <v>30</v>
      </c>
      <c r="D28" s="4">
        <f t="shared" si="0"/>
        <v>19</v>
      </c>
      <c r="E28">
        <v>16.7</v>
      </c>
      <c r="F28">
        <v>150.4</v>
      </c>
      <c r="G28" s="7">
        <f t="shared" si="1"/>
        <v>8</v>
      </c>
      <c r="H28" s="7">
        <f t="shared" si="5"/>
        <v>4</v>
      </c>
      <c r="I28" s="7">
        <f t="shared" si="2"/>
        <v>4</v>
      </c>
      <c r="J28" s="7">
        <f t="shared" si="3"/>
        <v>0</v>
      </c>
      <c r="K28" s="7">
        <f t="shared" si="4"/>
        <v>9</v>
      </c>
      <c r="L28">
        <v>-0.1</v>
      </c>
      <c r="M28" t="s">
        <v>8</v>
      </c>
      <c r="N28" t="s">
        <v>8</v>
      </c>
      <c r="O28" t="s">
        <v>8</v>
      </c>
      <c r="P28" t="s">
        <v>8</v>
      </c>
      <c r="Q28" t="s">
        <v>8</v>
      </c>
      <c r="R28" t="s">
        <v>7</v>
      </c>
      <c r="S28" t="s">
        <v>8</v>
      </c>
      <c r="T28" t="s">
        <v>8</v>
      </c>
      <c r="U28" t="s">
        <v>8</v>
      </c>
      <c r="V28">
        <v>10.7</v>
      </c>
      <c r="W28">
        <v>13</v>
      </c>
      <c r="X28">
        <v>25.7</v>
      </c>
      <c r="Y28">
        <v>24.7</v>
      </c>
      <c r="Z28">
        <v>20</v>
      </c>
      <c r="AA28">
        <v>16.399999999999999</v>
      </c>
      <c r="AB28">
        <v>21.1</v>
      </c>
      <c r="AC28">
        <v>19</v>
      </c>
    </row>
    <row r="29" spans="1:31" x14ac:dyDescent="0.25">
      <c r="A29">
        <v>28</v>
      </c>
      <c r="B29" t="s">
        <v>411</v>
      </c>
      <c r="C29" t="s">
        <v>97</v>
      </c>
      <c r="D29" s="4">
        <f t="shared" si="0"/>
        <v>10.8</v>
      </c>
      <c r="E29">
        <v>12.1</v>
      </c>
      <c r="F29">
        <v>132.80000000000001</v>
      </c>
      <c r="G29" s="7">
        <f t="shared" si="1"/>
        <v>6</v>
      </c>
      <c r="H29" s="7">
        <f t="shared" si="5"/>
        <v>2</v>
      </c>
      <c r="I29" s="7">
        <f t="shared" si="2"/>
        <v>2</v>
      </c>
      <c r="J29" s="7">
        <f t="shared" si="3"/>
        <v>0</v>
      </c>
      <c r="K29" s="7">
        <f t="shared" si="4"/>
        <v>11</v>
      </c>
      <c r="L29" t="s">
        <v>8</v>
      </c>
      <c r="M29" t="s">
        <v>8</v>
      </c>
      <c r="N29" t="s">
        <v>8</v>
      </c>
      <c r="O29">
        <v>10.8</v>
      </c>
      <c r="P29" t="s">
        <v>8</v>
      </c>
      <c r="Q29" t="s">
        <v>8</v>
      </c>
      <c r="R29">
        <v>6</v>
      </c>
      <c r="S29" t="s">
        <v>8</v>
      </c>
      <c r="T29">
        <v>8.4</v>
      </c>
      <c r="U29">
        <v>9.4</v>
      </c>
      <c r="V29">
        <v>12.1</v>
      </c>
      <c r="W29">
        <v>13.9</v>
      </c>
      <c r="X29" t="s">
        <v>7</v>
      </c>
      <c r="Y29">
        <v>6</v>
      </c>
      <c r="Z29">
        <v>25.9</v>
      </c>
      <c r="AA29">
        <v>2.1</v>
      </c>
      <c r="AB29">
        <v>20.3</v>
      </c>
      <c r="AC29">
        <v>17.899999999999999</v>
      </c>
    </row>
    <row r="30" spans="1:31" x14ac:dyDescent="0.25">
      <c r="A30">
        <v>29</v>
      </c>
      <c r="B30" t="s">
        <v>621</v>
      </c>
      <c r="C30" t="s">
        <v>18</v>
      </c>
      <c r="D30" s="4">
        <f t="shared" si="0"/>
        <v>10.25</v>
      </c>
      <c r="E30">
        <v>10.6</v>
      </c>
      <c r="F30">
        <v>126.9</v>
      </c>
      <c r="G30" s="7">
        <f t="shared" si="1"/>
        <v>6</v>
      </c>
      <c r="H30" s="7">
        <f t="shared" si="5"/>
        <v>0</v>
      </c>
      <c r="I30" s="7">
        <f t="shared" si="2"/>
        <v>0</v>
      </c>
      <c r="J30" s="7">
        <f t="shared" si="3"/>
        <v>0</v>
      </c>
      <c r="K30" s="7">
        <f t="shared" si="4"/>
        <v>12</v>
      </c>
      <c r="L30">
        <v>9.1999999999999993</v>
      </c>
      <c r="M30">
        <v>11.4</v>
      </c>
      <c r="N30">
        <v>6.4</v>
      </c>
      <c r="O30">
        <v>19.2</v>
      </c>
      <c r="P30">
        <v>9.6</v>
      </c>
      <c r="Q30">
        <v>10.9</v>
      </c>
      <c r="R30" t="s">
        <v>8</v>
      </c>
      <c r="S30">
        <v>12.1</v>
      </c>
      <c r="T30">
        <v>7.2</v>
      </c>
      <c r="U30">
        <v>14.9</v>
      </c>
      <c r="V30">
        <v>7.7</v>
      </c>
      <c r="W30" t="s">
        <v>8</v>
      </c>
      <c r="X30" t="s">
        <v>8</v>
      </c>
      <c r="Y30">
        <v>19.2</v>
      </c>
      <c r="Z30">
        <v>-1</v>
      </c>
      <c r="AA30" t="s">
        <v>8</v>
      </c>
      <c r="AB30" t="s">
        <v>8</v>
      </c>
      <c r="AC30" t="s">
        <v>8</v>
      </c>
    </row>
    <row r="31" spans="1:31" x14ac:dyDescent="0.25">
      <c r="A31">
        <v>30</v>
      </c>
      <c r="B31" t="s">
        <v>410</v>
      </c>
      <c r="C31" t="s">
        <v>76</v>
      </c>
      <c r="D31" s="4">
        <f t="shared" si="0"/>
        <v>12.1</v>
      </c>
      <c r="E31">
        <v>10.8</v>
      </c>
      <c r="F31">
        <v>118.4</v>
      </c>
      <c r="G31" s="7">
        <f t="shared" si="1"/>
        <v>6</v>
      </c>
      <c r="H31" s="7">
        <f t="shared" si="5"/>
        <v>2</v>
      </c>
      <c r="I31" s="7">
        <f t="shared" si="2"/>
        <v>2</v>
      </c>
      <c r="J31" s="7">
        <f t="shared" si="3"/>
        <v>0</v>
      </c>
      <c r="K31" s="7">
        <f t="shared" si="4"/>
        <v>11</v>
      </c>
      <c r="L31">
        <v>25.1</v>
      </c>
      <c r="M31">
        <v>14.7</v>
      </c>
      <c r="N31">
        <v>13.3</v>
      </c>
      <c r="O31">
        <v>2.7</v>
      </c>
      <c r="P31">
        <v>0.4</v>
      </c>
      <c r="Q31">
        <v>6.9</v>
      </c>
      <c r="R31">
        <v>20</v>
      </c>
      <c r="S31">
        <v>13.2</v>
      </c>
      <c r="T31">
        <v>12.1</v>
      </c>
      <c r="U31">
        <v>8.3000000000000007</v>
      </c>
      <c r="V31" t="s">
        <v>8</v>
      </c>
      <c r="W31">
        <v>1.6</v>
      </c>
      <c r="X31" t="s">
        <v>8</v>
      </c>
      <c r="Y31" t="s">
        <v>8</v>
      </c>
      <c r="Z31" t="s">
        <v>8</v>
      </c>
      <c r="AA31" t="s">
        <v>8</v>
      </c>
      <c r="AB31" t="s">
        <v>8</v>
      </c>
      <c r="AC31" t="s">
        <v>8</v>
      </c>
    </row>
    <row r="32" spans="1:31" x14ac:dyDescent="0.25">
      <c r="A32">
        <v>31</v>
      </c>
      <c r="B32" t="s">
        <v>423</v>
      </c>
      <c r="C32" t="s">
        <v>69</v>
      </c>
      <c r="D32" s="4">
        <f t="shared" si="0"/>
        <v>10.8</v>
      </c>
      <c r="E32">
        <v>9.5</v>
      </c>
      <c r="F32">
        <v>114.2</v>
      </c>
      <c r="G32" s="7">
        <f t="shared" si="1"/>
        <v>7</v>
      </c>
      <c r="H32" s="7">
        <f t="shared" si="5"/>
        <v>0</v>
      </c>
      <c r="I32" s="7">
        <f t="shared" si="2"/>
        <v>0</v>
      </c>
      <c r="J32" s="7">
        <f t="shared" si="3"/>
        <v>0</v>
      </c>
      <c r="K32" s="7">
        <f t="shared" si="4"/>
        <v>12</v>
      </c>
      <c r="L32">
        <v>11.7</v>
      </c>
      <c r="M32">
        <v>11.3</v>
      </c>
      <c r="N32">
        <v>18.5</v>
      </c>
      <c r="O32">
        <v>4.5</v>
      </c>
      <c r="P32">
        <v>12.4</v>
      </c>
      <c r="Q32" t="s">
        <v>8</v>
      </c>
      <c r="R32">
        <v>15.2</v>
      </c>
      <c r="S32">
        <v>3.9</v>
      </c>
      <c r="T32">
        <v>10.3</v>
      </c>
      <c r="U32">
        <v>6.6</v>
      </c>
      <c r="V32">
        <v>5.0999999999999996</v>
      </c>
      <c r="W32">
        <v>11.6</v>
      </c>
      <c r="X32">
        <v>3.1</v>
      </c>
      <c r="Y32" t="s">
        <v>8</v>
      </c>
      <c r="Z32" t="s">
        <v>8</v>
      </c>
      <c r="AA32" t="s">
        <v>8</v>
      </c>
      <c r="AB32" t="s">
        <v>8</v>
      </c>
      <c r="AC32" t="s">
        <v>8</v>
      </c>
    </row>
    <row r="33" spans="1:29" x14ac:dyDescent="0.25">
      <c r="A33">
        <v>32</v>
      </c>
      <c r="B33" t="s">
        <v>408</v>
      </c>
      <c r="C33" t="s">
        <v>69</v>
      </c>
      <c r="D33" s="4">
        <f t="shared" si="0"/>
        <v>21.3</v>
      </c>
      <c r="E33">
        <v>21.8</v>
      </c>
      <c r="F33">
        <v>108.8</v>
      </c>
      <c r="G33" s="7">
        <f t="shared" si="1"/>
        <v>5</v>
      </c>
      <c r="H33" s="7">
        <f t="shared" si="5"/>
        <v>3</v>
      </c>
      <c r="I33" s="7">
        <f t="shared" si="2"/>
        <v>3</v>
      </c>
      <c r="J33" s="7">
        <f t="shared" si="3"/>
        <v>0</v>
      </c>
      <c r="K33" s="7">
        <f t="shared" si="4"/>
        <v>5</v>
      </c>
      <c r="L33" t="s">
        <v>8</v>
      </c>
      <c r="M33" t="s">
        <v>8</v>
      </c>
      <c r="N33" t="s">
        <v>8</v>
      </c>
      <c r="O33" t="s">
        <v>8</v>
      </c>
      <c r="P33" t="s">
        <v>7</v>
      </c>
      <c r="Q33" t="s">
        <v>8</v>
      </c>
      <c r="R33" t="s">
        <v>8</v>
      </c>
      <c r="S33" t="s">
        <v>8</v>
      </c>
      <c r="T33" t="s">
        <v>8</v>
      </c>
      <c r="U33" t="s">
        <v>8</v>
      </c>
      <c r="V33" t="s">
        <v>8</v>
      </c>
      <c r="W33" t="s">
        <v>8</v>
      </c>
      <c r="X33">
        <v>17.2</v>
      </c>
      <c r="Y33">
        <v>21.3</v>
      </c>
      <c r="Z33">
        <v>19.899999999999999</v>
      </c>
      <c r="AA33">
        <v>26.8</v>
      </c>
      <c r="AB33">
        <v>23.7</v>
      </c>
      <c r="AC33" t="s">
        <v>8</v>
      </c>
    </row>
    <row r="34" spans="1:29" x14ac:dyDescent="0.25">
      <c r="A34">
        <v>33</v>
      </c>
      <c r="B34" t="s">
        <v>403</v>
      </c>
      <c r="C34" t="s">
        <v>47</v>
      </c>
      <c r="D34" s="4">
        <f t="shared" ref="D34:D65" si="6">MEDIAN(L34:AC34)</f>
        <v>11.5</v>
      </c>
      <c r="E34">
        <v>11.8</v>
      </c>
      <c r="F34">
        <v>106</v>
      </c>
      <c r="G34" s="7">
        <f t="shared" si="1"/>
        <v>5</v>
      </c>
      <c r="H34" s="7">
        <f t="shared" si="5"/>
        <v>1</v>
      </c>
      <c r="I34" s="7">
        <f t="shared" si="2"/>
        <v>1</v>
      </c>
      <c r="J34" s="7">
        <f t="shared" si="3"/>
        <v>0</v>
      </c>
      <c r="K34" s="7">
        <f t="shared" si="4"/>
        <v>9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7</v>
      </c>
      <c r="S34">
        <v>26.6</v>
      </c>
      <c r="T34">
        <v>9.6999999999999993</v>
      </c>
      <c r="U34">
        <v>7</v>
      </c>
      <c r="V34">
        <v>12.5</v>
      </c>
      <c r="W34">
        <v>7.1</v>
      </c>
      <c r="X34">
        <v>11.5</v>
      </c>
      <c r="Y34">
        <v>17.600000000000001</v>
      </c>
      <c r="Z34">
        <v>15.5</v>
      </c>
      <c r="AA34" t="s">
        <v>8</v>
      </c>
      <c r="AB34">
        <v>-1.4</v>
      </c>
      <c r="AC34" t="s">
        <v>8</v>
      </c>
    </row>
    <row r="35" spans="1:29" x14ac:dyDescent="0.25">
      <c r="A35">
        <v>34</v>
      </c>
      <c r="B35" t="s">
        <v>433</v>
      </c>
      <c r="C35" t="s">
        <v>55</v>
      </c>
      <c r="D35" s="4">
        <f t="shared" si="6"/>
        <v>10.45</v>
      </c>
      <c r="E35">
        <v>9.6999999999999993</v>
      </c>
      <c r="F35">
        <v>96.5</v>
      </c>
      <c r="G35" s="7">
        <f t="shared" si="1"/>
        <v>6</v>
      </c>
      <c r="H35" s="7">
        <f t="shared" si="5"/>
        <v>1</v>
      </c>
      <c r="I35" s="7">
        <f t="shared" si="2"/>
        <v>1</v>
      </c>
      <c r="J35" s="7">
        <f t="shared" si="3"/>
        <v>0</v>
      </c>
      <c r="K35" s="7">
        <f t="shared" si="4"/>
        <v>10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8</v>
      </c>
      <c r="R35">
        <v>0</v>
      </c>
      <c r="S35">
        <v>7.2</v>
      </c>
      <c r="T35">
        <v>10.7</v>
      </c>
      <c r="U35">
        <v>14.5</v>
      </c>
      <c r="V35">
        <v>22.5</v>
      </c>
      <c r="W35">
        <v>10.199999999999999</v>
      </c>
      <c r="X35" t="s">
        <v>7</v>
      </c>
      <c r="Y35">
        <v>17.399999999999999</v>
      </c>
      <c r="Z35">
        <v>10.7</v>
      </c>
      <c r="AA35">
        <v>2.7</v>
      </c>
      <c r="AB35" t="s">
        <v>8</v>
      </c>
      <c r="AC35">
        <v>0.6</v>
      </c>
    </row>
    <row r="36" spans="1:29" x14ac:dyDescent="0.25">
      <c r="A36">
        <v>35</v>
      </c>
      <c r="B36" t="s">
        <v>413</v>
      </c>
      <c r="C36" t="s">
        <v>69</v>
      </c>
      <c r="D36" s="4">
        <f t="shared" si="6"/>
        <v>18.100000000000001</v>
      </c>
      <c r="E36">
        <v>15.1</v>
      </c>
      <c r="F36">
        <v>90.8</v>
      </c>
      <c r="G36" s="7">
        <f t="shared" si="1"/>
        <v>5</v>
      </c>
      <c r="H36" s="7">
        <f t="shared" si="5"/>
        <v>2</v>
      </c>
      <c r="I36" s="7">
        <f t="shared" si="2"/>
        <v>2</v>
      </c>
      <c r="J36" s="7">
        <f t="shared" si="3"/>
        <v>0</v>
      </c>
      <c r="K36" s="7">
        <f t="shared" si="4"/>
        <v>6</v>
      </c>
      <c r="L36">
        <v>21.7</v>
      </c>
      <c r="M36">
        <v>12.6</v>
      </c>
      <c r="N36">
        <v>21.2</v>
      </c>
      <c r="O36" t="s">
        <v>8</v>
      </c>
      <c r="P36" t="s">
        <v>7</v>
      </c>
      <c r="Q36" t="s">
        <v>8</v>
      </c>
      <c r="R36">
        <v>-0.8</v>
      </c>
      <c r="S36" t="s">
        <v>8</v>
      </c>
      <c r="T36">
        <v>19</v>
      </c>
      <c r="U36">
        <v>17.2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8</v>
      </c>
      <c r="AB36" t="s">
        <v>8</v>
      </c>
      <c r="AC36" t="s">
        <v>8</v>
      </c>
    </row>
    <row r="37" spans="1:29" x14ac:dyDescent="0.25">
      <c r="A37">
        <v>36</v>
      </c>
      <c r="B37" t="s">
        <v>427</v>
      </c>
      <c r="C37" t="s">
        <v>40</v>
      </c>
      <c r="D37" s="4">
        <f t="shared" si="6"/>
        <v>4.8</v>
      </c>
      <c r="E37">
        <v>8.1999999999999993</v>
      </c>
      <c r="F37">
        <v>90.3</v>
      </c>
      <c r="G37" s="7">
        <f t="shared" si="1"/>
        <v>5</v>
      </c>
      <c r="H37" s="7">
        <f t="shared" si="5"/>
        <v>1</v>
      </c>
      <c r="I37" s="7">
        <f t="shared" si="2"/>
        <v>1</v>
      </c>
      <c r="J37" s="7">
        <f t="shared" si="3"/>
        <v>0</v>
      </c>
      <c r="K37" s="7">
        <f t="shared" si="4"/>
        <v>11</v>
      </c>
      <c r="L37">
        <v>0.2</v>
      </c>
      <c r="M37" t="s">
        <v>8</v>
      </c>
      <c r="N37">
        <v>0.2</v>
      </c>
      <c r="O37">
        <v>0</v>
      </c>
      <c r="P37">
        <v>4.8</v>
      </c>
      <c r="Q37">
        <v>10.4</v>
      </c>
      <c r="R37">
        <v>21.7</v>
      </c>
      <c r="S37">
        <v>3.6</v>
      </c>
      <c r="T37" t="s">
        <v>8</v>
      </c>
      <c r="U37" t="s">
        <v>8</v>
      </c>
      <c r="V37" t="s">
        <v>8</v>
      </c>
      <c r="W37" t="s">
        <v>8</v>
      </c>
      <c r="X37" t="s">
        <v>8</v>
      </c>
      <c r="Y37" t="s">
        <v>8</v>
      </c>
      <c r="Z37">
        <v>0.5</v>
      </c>
      <c r="AA37">
        <v>10.4</v>
      </c>
      <c r="AB37">
        <v>19.8</v>
      </c>
      <c r="AC37">
        <v>18.7</v>
      </c>
    </row>
    <row r="38" spans="1:29" x14ac:dyDescent="0.25">
      <c r="A38">
        <v>37</v>
      </c>
      <c r="B38" t="s">
        <v>622</v>
      </c>
      <c r="C38" t="s">
        <v>90</v>
      </c>
      <c r="D38" s="4">
        <f t="shared" si="6"/>
        <v>9.8000000000000007</v>
      </c>
      <c r="E38">
        <v>9.6999999999999993</v>
      </c>
      <c r="F38">
        <v>87</v>
      </c>
      <c r="G38" s="7">
        <f t="shared" si="1"/>
        <v>4</v>
      </c>
      <c r="H38" s="7">
        <f t="shared" si="5"/>
        <v>1</v>
      </c>
      <c r="I38" s="7">
        <f t="shared" si="2"/>
        <v>1</v>
      </c>
      <c r="J38" s="7">
        <f t="shared" si="3"/>
        <v>0</v>
      </c>
      <c r="K38" s="7">
        <f t="shared" si="4"/>
        <v>9</v>
      </c>
      <c r="L38">
        <v>5.4</v>
      </c>
      <c r="M38">
        <v>21</v>
      </c>
      <c r="N38">
        <v>4.2</v>
      </c>
      <c r="O38">
        <v>13.7</v>
      </c>
      <c r="P38">
        <v>10.8</v>
      </c>
      <c r="Q38">
        <v>2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 t="s">
        <v>8</v>
      </c>
      <c r="X38" t="s">
        <v>8</v>
      </c>
      <c r="Y38" t="s">
        <v>8</v>
      </c>
      <c r="Z38" t="s">
        <v>8</v>
      </c>
      <c r="AA38">
        <v>9.8000000000000007</v>
      </c>
      <c r="AB38">
        <v>6.7</v>
      </c>
      <c r="AC38">
        <v>13.4</v>
      </c>
    </row>
    <row r="39" spans="1:29" x14ac:dyDescent="0.25">
      <c r="A39">
        <v>38</v>
      </c>
      <c r="B39" t="s">
        <v>435</v>
      </c>
      <c r="C39" t="s">
        <v>62</v>
      </c>
      <c r="D39" s="4">
        <f t="shared" si="6"/>
        <v>5</v>
      </c>
      <c r="E39">
        <v>7.8</v>
      </c>
      <c r="F39">
        <v>78.2</v>
      </c>
      <c r="G39" s="7">
        <f t="shared" si="1"/>
        <v>4</v>
      </c>
      <c r="H39" s="7">
        <f t="shared" si="5"/>
        <v>1</v>
      </c>
      <c r="I39" s="7">
        <f t="shared" si="2"/>
        <v>1</v>
      </c>
      <c r="J39" s="7">
        <f t="shared" si="3"/>
        <v>0</v>
      </c>
      <c r="K39" s="7">
        <f t="shared" si="4"/>
        <v>10</v>
      </c>
      <c r="L39" t="s">
        <v>8</v>
      </c>
      <c r="M39" t="s">
        <v>8</v>
      </c>
      <c r="N39" t="s">
        <v>8</v>
      </c>
      <c r="O39">
        <v>2.2999999999999998</v>
      </c>
      <c r="P39">
        <v>0.9</v>
      </c>
      <c r="Q39" t="s">
        <v>8</v>
      </c>
      <c r="R39" t="s">
        <v>8</v>
      </c>
      <c r="S39" t="s">
        <v>8</v>
      </c>
      <c r="T39" t="s">
        <v>8</v>
      </c>
      <c r="U39">
        <v>0</v>
      </c>
      <c r="V39" t="s">
        <v>8</v>
      </c>
      <c r="W39">
        <v>1.2</v>
      </c>
      <c r="X39">
        <v>7.2</v>
      </c>
      <c r="Y39">
        <v>21.9</v>
      </c>
      <c r="Z39">
        <v>10.4</v>
      </c>
      <c r="AA39">
        <v>16.399999999999999</v>
      </c>
      <c r="AB39">
        <v>15.1</v>
      </c>
      <c r="AC39">
        <v>2.8</v>
      </c>
    </row>
    <row r="40" spans="1:29" x14ac:dyDescent="0.25">
      <c r="A40">
        <v>39</v>
      </c>
      <c r="B40" t="s">
        <v>441</v>
      </c>
      <c r="C40" t="s">
        <v>66</v>
      </c>
      <c r="D40" s="4">
        <f t="shared" si="6"/>
        <v>19.100000000000001</v>
      </c>
      <c r="E40">
        <v>14.9</v>
      </c>
      <c r="F40">
        <v>74.7</v>
      </c>
      <c r="G40" s="7">
        <f t="shared" si="1"/>
        <v>3</v>
      </c>
      <c r="H40" s="7">
        <f t="shared" si="5"/>
        <v>2</v>
      </c>
      <c r="I40" s="7">
        <f t="shared" si="2"/>
        <v>2</v>
      </c>
      <c r="J40" s="7">
        <f t="shared" si="3"/>
        <v>0</v>
      </c>
      <c r="K40" s="7">
        <f t="shared" si="4"/>
        <v>5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  <c r="Q40" t="s">
        <v>8</v>
      </c>
      <c r="R40" t="s">
        <v>8</v>
      </c>
      <c r="S40" t="s">
        <v>8</v>
      </c>
      <c r="T40" t="s">
        <v>7</v>
      </c>
      <c r="U40" t="s">
        <v>8</v>
      </c>
      <c r="V40" t="s">
        <v>8</v>
      </c>
      <c r="W40" t="s">
        <v>8</v>
      </c>
      <c r="X40" t="s">
        <v>8</v>
      </c>
      <c r="Y40">
        <v>3.3</v>
      </c>
      <c r="Z40">
        <v>19.100000000000001</v>
      </c>
      <c r="AA40">
        <v>20.5</v>
      </c>
      <c r="AB40">
        <v>9.1</v>
      </c>
      <c r="AC40">
        <v>22.6</v>
      </c>
    </row>
    <row r="41" spans="1:29" x14ac:dyDescent="0.25">
      <c r="A41">
        <v>40</v>
      </c>
      <c r="B41" t="s">
        <v>398</v>
      </c>
      <c r="C41" t="s">
        <v>24</v>
      </c>
      <c r="D41" s="4">
        <f t="shared" si="6"/>
        <v>19.799999999999997</v>
      </c>
      <c r="E41">
        <v>18.399999999999999</v>
      </c>
      <c r="F41">
        <v>73.7</v>
      </c>
      <c r="G41" s="7">
        <f t="shared" si="1"/>
        <v>3</v>
      </c>
      <c r="H41" s="7">
        <f t="shared" si="5"/>
        <v>2</v>
      </c>
      <c r="I41" s="7">
        <f t="shared" si="2"/>
        <v>2</v>
      </c>
      <c r="J41" s="7">
        <f t="shared" si="3"/>
        <v>0</v>
      </c>
      <c r="K41" s="7">
        <f t="shared" si="4"/>
        <v>4</v>
      </c>
      <c r="L41">
        <v>21.9</v>
      </c>
      <c r="M41">
        <v>17.7</v>
      </c>
      <c r="N41" t="s">
        <v>8</v>
      </c>
      <c r="O41">
        <v>29.6</v>
      </c>
      <c r="P41">
        <v>4.4000000000000004</v>
      </c>
      <c r="Q41" t="s">
        <v>8</v>
      </c>
      <c r="R41" t="s">
        <v>8</v>
      </c>
      <c r="S41" t="s">
        <v>8</v>
      </c>
      <c r="T41" t="s">
        <v>8</v>
      </c>
      <c r="U41" t="s">
        <v>8</v>
      </c>
      <c r="V41" t="s">
        <v>7</v>
      </c>
      <c r="W41" t="s">
        <v>8</v>
      </c>
      <c r="X41" t="s">
        <v>8</v>
      </c>
      <c r="Y41" t="s">
        <v>8</v>
      </c>
      <c r="Z41" t="s">
        <v>8</v>
      </c>
      <c r="AA41" t="s">
        <v>8</v>
      </c>
      <c r="AB41" t="s">
        <v>8</v>
      </c>
      <c r="AC41" t="s">
        <v>8</v>
      </c>
    </row>
    <row r="42" spans="1:29" x14ac:dyDescent="0.25">
      <c r="A42">
        <v>41</v>
      </c>
      <c r="B42" t="s">
        <v>426</v>
      </c>
      <c r="C42" t="s">
        <v>20</v>
      </c>
      <c r="D42" s="4">
        <f t="shared" si="6"/>
        <v>9.9</v>
      </c>
      <c r="E42">
        <v>10.4</v>
      </c>
      <c r="F42">
        <v>73.099999999999994</v>
      </c>
      <c r="G42" s="7">
        <f t="shared" si="1"/>
        <v>3</v>
      </c>
      <c r="H42" s="7">
        <f t="shared" si="5"/>
        <v>1</v>
      </c>
      <c r="I42" s="7">
        <f t="shared" si="2"/>
        <v>1</v>
      </c>
      <c r="J42" s="7">
        <f t="shared" si="3"/>
        <v>0</v>
      </c>
      <c r="K42" s="7">
        <f t="shared" si="4"/>
        <v>7</v>
      </c>
      <c r="L42">
        <v>16.100000000000001</v>
      </c>
      <c r="M42">
        <v>9.5</v>
      </c>
      <c r="N42">
        <v>20.7</v>
      </c>
      <c r="O42" t="s">
        <v>8</v>
      </c>
      <c r="P42">
        <v>11.7</v>
      </c>
      <c r="Q42">
        <v>9.9</v>
      </c>
      <c r="R42" t="s">
        <v>8</v>
      </c>
      <c r="S42">
        <v>5.2</v>
      </c>
      <c r="T42" t="s">
        <v>8</v>
      </c>
      <c r="U42" t="s">
        <v>7</v>
      </c>
      <c r="V42" t="s">
        <v>8</v>
      </c>
      <c r="W42" t="s">
        <v>8</v>
      </c>
      <c r="X42" t="s">
        <v>8</v>
      </c>
      <c r="Y42" t="s">
        <v>8</v>
      </c>
      <c r="Z42" t="s">
        <v>8</v>
      </c>
      <c r="AA42" t="s">
        <v>8</v>
      </c>
      <c r="AB42" t="s">
        <v>8</v>
      </c>
      <c r="AC42">
        <v>0</v>
      </c>
    </row>
    <row r="43" spans="1:29" x14ac:dyDescent="0.25">
      <c r="A43">
        <v>42</v>
      </c>
      <c r="B43" t="s">
        <v>439</v>
      </c>
      <c r="C43" t="s">
        <v>45</v>
      </c>
      <c r="D43" s="4">
        <f t="shared" si="6"/>
        <v>14.2</v>
      </c>
      <c r="E43">
        <v>14</v>
      </c>
      <c r="F43">
        <v>70</v>
      </c>
      <c r="G43" s="7">
        <f t="shared" si="1"/>
        <v>4</v>
      </c>
      <c r="H43" s="7">
        <f t="shared" si="5"/>
        <v>0</v>
      </c>
      <c r="I43" s="7">
        <f t="shared" si="2"/>
        <v>0</v>
      </c>
      <c r="J43" s="7">
        <f t="shared" si="3"/>
        <v>0</v>
      </c>
      <c r="K43" s="7">
        <f t="shared" si="4"/>
        <v>5</v>
      </c>
      <c r="L43" t="s">
        <v>8</v>
      </c>
      <c r="M43" t="s">
        <v>8</v>
      </c>
      <c r="N43" t="s">
        <v>8</v>
      </c>
      <c r="O43" t="s">
        <v>8</v>
      </c>
      <c r="P43" t="s">
        <v>7</v>
      </c>
      <c r="Q43" t="s">
        <v>8</v>
      </c>
      <c r="R43" t="s">
        <v>8</v>
      </c>
      <c r="S43">
        <v>12.4</v>
      </c>
      <c r="T43">
        <v>15.7</v>
      </c>
      <c r="U43">
        <v>9.6</v>
      </c>
      <c r="V43" t="s">
        <v>8</v>
      </c>
      <c r="W43" t="s">
        <v>8</v>
      </c>
      <c r="X43" t="s">
        <v>8</v>
      </c>
      <c r="Y43" t="s">
        <v>8</v>
      </c>
      <c r="Z43" t="s">
        <v>8</v>
      </c>
      <c r="AA43">
        <v>14.2</v>
      </c>
      <c r="AB43">
        <v>18.100000000000001</v>
      </c>
      <c r="AC43" t="s">
        <v>8</v>
      </c>
    </row>
    <row r="44" spans="1:29" x14ac:dyDescent="0.25">
      <c r="A44">
        <v>43</v>
      </c>
      <c r="B44" t="s">
        <v>623</v>
      </c>
      <c r="C44" t="s">
        <v>14</v>
      </c>
      <c r="D44" s="4">
        <f t="shared" si="6"/>
        <v>16</v>
      </c>
      <c r="E44">
        <v>13.6</v>
      </c>
      <c r="F44">
        <v>68.099999999999994</v>
      </c>
      <c r="G44" s="7">
        <f t="shared" si="1"/>
        <v>4</v>
      </c>
      <c r="H44" s="7">
        <f t="shared" si="5"/>
        <v>0</v>
      </c>
      <c r="I44" s="7">
        <f t="shared" si="2"/>
        <v>0</v>
      </c>
      <c r="J44" s="7">
        <f t="shared" si="3"/>
        <v>0</v>
      </c>
      <c r="K44" s="7">
        <f t="shared" si="4"/>
        <v>5</v>
      </c>
      <c r="L44" t="s">
        <v>8</v>
      </c>
      <c r="M44" t="s">
        <v>8</v>
      </c>
      <c r="N44" t="s">
        <v>8</v>
      </c>
      <c r="O44" t="s">
        <v>8</v>
      </c>
      <c r="P44" t="s">
        <v>8</v>
      </c>
      <c r="Q44" t="s">
        <v>8</v>
      </c>
      <c r="R44" t="s">
        <v>8</v>
      </c>
      <c r="S44" t="s">
        <v>8</v>
      </c>
      <c r="T44" t="s">
        <v>8</v>
      </c>
      <c r="U44" t="s">
        <v>8</v>
      </c>
      <c r="V44" t="s">
        <v>7</v>
      </c>
      <c r="W44" t="s">
        <v>8</v>
      </c>
      <c r="X44" t="s">
        <v>8</v>
      </c>
      <c r="Y44">
        <v>5.2</v>
      </c>
      <c r="Z44">
        <v>18.399999999999999</v>
      </c>
      <c r="AA44">
        <v>16.600000000000001</v>
      </c>
      <c r="AB44">
        <v>11.9</v>
      </c>
      <c r="AC44">
        <v>16</v>
      </c>
    </row>
    <row r="45" spans="1:29" x14ac:dyDescent="0.25">
      <c r="A45">
        <v>44</v>
      </c>
      <c r="B45" t="s">
        <v>402</v>
      </c>
      <c r="C45" t="s">
        <v>24</v>
      </c>
      <c r="D45" s="4">
        <f t="shared" si="6"/>
        <v>6.85</v>
      </c>
      <c r="E45">
        <v>10.5</v>
      </c>
      <c r="F45">
        <v>63</v>
      </c>
      <c r="G45" s="7">
        <f t="shared" si="1"/>
        <v>2</v>
      </c>
      <c r="H45" s="7">
        <f t="shared" si="5"/>
        <v>1</v>
      </c>
      <c r="I45" s="7">
        <f t="shared" si="2"/>
        <v>1</v>
      </c>
      <c r="J45" s="7">
        <f t="shared" si="3"/>
        <v>1</v>
      </c>
      <c r="K45" s="7">
        <f t="shared" si="4"/>
        <v>6</v>
      </c>
      <c r="L45">
        <v>6.5</v>
      </c>
      <c r="M45">
        <v>31.7</v>
      </c>
      <c r="N45">
        <v>5</v>
      </c>
      <c r="O45">
        <v>10.7</v>
      </c>
      <c r="P45">
        <v>7.2</v>
      </c>
      <c r="Q45" t="s">
        <v>8</v>
      </c>
      <c r="R45" t="s">
        <v>8</v>
      </c>
      <c r="S45" t="s">
        <v>8</v>
      </c>
      <c r="T45">
        <v>1.9</v>
      </c>
      <c r="U45" t="s">
        <v>8</v>
      </c>
      <c r="V45" t="s">
        <v>7</v>
      </c>
      <c r="W45" t="s">
        <v>8</v>
      </c>
      <c r="X45" t="s">
        <v>8</v>
      </c>
      <c r="Y45" t="s">
        <v>8</v>
      </c>
      <c r="Z45" t="s">
        <v>8</v>
      </c>
      <c r="AA45" t="s">
        <v>8</v>
      </c>
      <c r="AB45" t="s">
        <v>8</v>
      </c>
      <c r="AC45" t="s">
        <v>8</v>
      </c>
    </row>
    <row r="46" spans="1:29" x14ac:dyDescent="0.25">
      <c r="A46">
        <v>45</v>
      </c>
      <c r="B46" t="s">
        <v>460</v>
      </c>
      <c r="C46" t="s">
        <v>43</v>
      </c>
      <c r="D46" s="4">
        <f t="shared" si="6"/>
        <v>12.9</v>
      </c>
      <c r="E46">
        <v>11.9</v>
      </c>
      <c r="F46">
        <v>59.3</v>
      </c>
      <c r="G46" s="7">
        <f t="shared" si="1"/>
        <v>3</v>
      </c>
      <c r="H46" s="7">
        <f t="shared" si="5"/>
        <v>0</v>
      </c>
      <c r="I46" s="7">
        <f t="shared" si="2"/>
        <v>0</v>
      </c>
      <c r="J46" s="7">
        <f t="shared" si="3"/>
        <v>0</v>
      </c>
      <c r="K46" s="7">
        <f t="shared" si="4"/>
        <v>5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>
        <v>6.7</v>
      </c>
      <c r="R46">
        <v>12.9</v>
      </c>
      <c r="S46">
        <v>13.2</v>
      </c>
      <c r="T46">
        <v>18.8</v>
      </c>
      <c r="U46">
        <v>7.7</v>
      </c>
      <c r="V46" t="s">
        <v>8</v>
      </c>
      <c r="W46" t="s">
        <v>8</v>
      </c>
      <c r="X46" t="s">
        <v>7</v>
      </c>
      <c r="Y46" t="s">
        <v>8</v>
      </c>
      <c r="Z46" t="s">
        <v>8</v>
      </c>
      <c r="AA46" t="s">
        <v>8</v>
      </c>
      <c r="AB46" t="s">
        <v>8</v>
      </c>
      <c r="AC46" t="s">
        <v>8</v>
      </c>
    </row>
    <row r="47" spans="1:29" x14ac:dyDescent="0.25">
      <c r="A47">
        <v>46</v>
      </c>
      <c r="B47" t="s">
        <v>429</v>
      </c>
      <c r="C47" t="s">
        <v>22</v>
      </c>
      <c r="D47" s="4">
        <f t="shared" si="6"/>
        <v>9.3000000000000007</v>
      </c>
      <c r="E47">
        <v>10.7</v>
      </c>
      <c r="F47">
        <v>53.7</v>
      </c>
      <c r="G47" s="7">
        <f t="shared" si="1"/>
        <v>2</v>
      </c>
      <c r="H47" s="7">
        <f t="shared" si="5"/>
        <v>1</v>
      </c>
      <c r="I47" s="7">
        <f t="shared" si="2"/>
        <v>1</v>
      </c>
      <c r="J47" s="7">
        <f t="shared" si="3"/>
        <v>0</v>
      </c>
      <c r="K47" s="7">
        <f t="shared" si="4"/>
        <v>5</v>
      </c>
      <c r="L47" t="s">
        <v>8</v>
      </c>
      <c r="M47" t="s">
        <v>8</v>
      </c>
      <c r="N47" t="s">
        <v>8</v>
      </c>
      <c r="O47">
        <v>0.7</v>
      </c>
      <c r="P47" t="s">
        <v>8</v>
      </c>
      <c r="Q47" t="s">
        <v>8</v>
      </c>
      <c r="R47" t="s">
        <v>8</v>
      </c>
      <c r="S47">
        <v>9.3000000000000007</v>
      </c>
      <c r="T47" t="s">
        <v>8</v>
      </c>
      <c r="U47" t="s">
        <v>8</v>
      </c>
      <c r="V47" t="s">
        <v>8</v>
      </c>
      <c r="W47" t="s">
        <v>8</v>
      </c>
      <c r="X47">
        <v>7.2</v>
      </c>
      <c r="Y47">
        <v>21.6</v>
      </c>
      <c r="Z47">
        <v>14.9</v>
      </c>
      <c r="AA47" t="s">
        <v>8</v>
      </c>
      <c r="AB47" t="s">
        <v>8</v>
      </c>
      <c r="AC47" t="s">
        <v>8</v>
      </c>
    </row>
    <row r="48" spans="1:29" x14ac:dyDescent="0.25">
      <c r="A48">
        <v>47</v>
      </c>
      <c r="B48" t="s">
        <v>409</v>
      </c>
      <c r="C48" t="s">
        <v>78</v>
      </c>
      <c r="D48" s="4">
        <f t="shared" si="6"/>
        <v>9.75</v>
      </c>
      <c r="E48">
        <v>9.9</v>
      </c>
      <c r="F48">
        <v>39.6</v>
      </c>
      <c r="G48" s="7">
        <f t="shared" si="1"/>
        <v>2</v>
      </c>
      <c r="H48" s="7">
        <f t="shared" si="5"/>
        <v>1</v>
      </c>
      <c r="I48" s="7">
        <f t="shared" si="2"/>
        <v>1</v>
      </c>
      <c r="J48" s="7">
        <f t="shared" si="3"/>
        <v>0</v>
      </c>
      <c r="K48" s="7">
        <f t="shared" si="4"/>
        <v>4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  <c r="Q48" t="s">
        <v>7</v>
      </c>
      <c r="R48" t="s">
        <v>8</v>
      </c>
      <c r="S48" t="s">
        <v>8</v>
      </c>
      <c r="T48" t="s">
        <v>8</v>
      </c>
      <c r="U48" t="s">
        <v>8</v>
      </c>
      <c r="V48" t="s">
        <v>8</v>
      </c>
      <c r="W48" t="s">
        <v>8</v>
      </c>
      <c r="X48" t="s">
        <v>8</v>
      </c>
      <c r="Y48" t="s">
        <v>8</v>
      </c>
      <c r="Z48">
        <v>0.1</v>
      </c>
      <c r="AA48">
        <v>20</v>
      </c>
      <c r="AB48">
        <v>11.5</v>
      </c>
      <c r="AC48">
        <v>8</v>
      </c>
    </row>
    <row r="49" spans="1:29" x14ac:dyDescent="0.25">
      <c r="A49">
        <v>48</v>
      </c>
      <c r="B49" t="s">
        <v>412</v>
      </c>
      <c r="C49" t="s">
        <v>53</v>
      </c>
      <c r="D49" s="4">
        <f t="shared" si="6"/>
        <v>7.85</v>
      </c>
      <c r="E49">
        <v>8</v>
      </c>
      <c r="F49">
        <v>32.1</v>
      </c>
      <c r="G49" s="7">
        <f t="shared" si="1"/>
        <v>2</v>
      </c>
      <c r="H49" s="7">
        <f t="shared" si="5"/>
        <v>0</v>
      </c>
      <c r="I49" s="7">
        <f t="shared" si="2"/>
        <v>0</v>
      </c>
      <c r="J49" s="7">
        <f t="shared" si="3"/>
        <v>0</v>
      </c>
      <c r="K49" s="7">
        <f t="shared" si="4"/>
        <v>4</v>
      </c>
      <c r="L49" t="s">
        <v>8</v>
      </c>
      <c r="M49" t="s">
        <v>8</v>
      </c>
      <c r="N49" t="s">
        <v>8</v>
      </c>
      <c r="O49">
        <v>3.6</v>
      </c>
      <c r="P49" t="s">
        <v>7</v>
      </c>
      <c r="Q49" t="s">
        <v>8</v>
      </c>
      <c r="R49" t="s">
        <v>8</v>
      </c>
      <c r="S49" t="s">
        <v>8</v>
      </c>
      <c r="T49" t="s">
        <v>8</v>
      </c>
      <c r="U49" t="s">
        <v>8</v>
      </c>
      <c r="V49">
        <v>-0.9</v>
      </c>
      <c r="W49" t="s">
        <v>8</v>
      </c>
      <c r="X49" t="s">
        <v>8</v>
      </c>
      <c r="Y49">
        <v>17.3</v>
      </c>
      <c r="Z49">
        <v>12.1</v>
      </c>
      <c r="AA49" t="s">
        <v>8</v>
      </c>
      <c r="AB49" t="s">
        <v>8</v>
      </c>
      <c r="AC49" t="s">
        <v>8</v>
      </c>
    </row>
    <row r="50" spans="1:29" x14ac:dyDescent="0.25">
      <c r="A50">
        <v>49</v>
      </c>
      <c r="B50" t="s">
        <v>453</v>
      </c>
      <c r="C50" t="s">
        <v>90</v>
      </c>
      <c r="D50" s="4">
        <f t="shared" si="6"/>
        <v>2.9</v>
      </c>
      <c r="E50">
        <v>6.2</v>
      </c>
      <c r="F50">
        <v>31</v>
      </c>
      <c r="H50" s="7">
        <f t="shared" si="5"/>
        <v>0</v>
      </c>
      <c r="L50" t="s">
        <v>8</v>
      </c>
      <c r="M50" t="s">
        <v>8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T50" t="s">
        <v>8</v>
      </c>
      <c r="U50" t="s">
        <v>8</v>
      </c>
      <c r="V50" t="s">
        <v>8</v>
      </c>
      <c r="W50" t="s">
        <v>8</v>
      </c>
      <c r="X50">
        <v>1.4</v>
      </c>
      <c r="Y50" t="s">
        <v>8</v>
      </c>
      <c r="Z50">
        <v>0.4</v>
      </c>
      <c r="AA50">
        <v>11.5</v>
      </c>
      <c r="AB50">
        <v>14.7</v>
      </c>
      <c r="AC50">
        <v>2.9</v>
      </c>
    </row>
    <row r="51" spans="1:29" x14ac:dyDescent="0.25">
      <c r="A51">
        <v>50</v>
      </c>
      <c r="B51" t="s">
        <v>447</v>
      </c>
      <c r="C51" t="s">
        <v>50</v>
      </c>
      <c r="D51" s="4">
        <f t="shared" si="6"/>
        <v>13.6</v>
      </c>
      <c r="E51">
        <v>9.1999999999999993</v>
      </c>
      <c r="F51">
        <v>27.6</v>
      </c>
      <c r="H51" s="7">
        <f t="shared" si="5"/>
        <v>0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  <c r="Q51" t="s">
        <v>8</v>
      </c>
      <c r="R51" t="s">
        <v>8</v>
      </c>
      <c r="S51" t="s">
        <v>8</v>
      </c>
      <c r="T51" t="s">
        <v>7</v>
      </c>
      <c r="U51" t="s">
        <v>8</v>
      </c>
      <c r="V51" t="s">
        <v>8</v>
      </c>
      <c r="W51" t="s">
        <v>8</v>
      </c>
      <c r="X51" t="s">
        <v>8</v>
      </c>
      <c r="Y51" t="s">
        <v>8</v>
      </c>
      <c r="Z51">
        <v>0</v>
      </c>
      <c r="AA51" t="s">
        <v>8</v>
      </c>
      <c r="AB51">
        <v>13.6</v>
      </c>
      <c r="AC51">
        <v>14.1</v>
      </c>
    </row>
    <row r="52" spans="1:29" x14ac:dyDescent="0.25">
      <c r="A52">
        <v>51</v>
      </c>
      <c r="B52" t="s">
        <v>438</v>
      </c>
      <c r="C52" t="s">
        <v>90</v>
      </c>
      <c r="D52" s="4">
        <f t="shared" si="6"/>
        <v>13.55</v>
      </c>
      <c r="E52">
        <v>13.6</v>
      </c>
      <c r="F52">
        <v>27.1</v>
      </c>
      <c r="H52" s="7">
        <f t="shared" si="5"/>
        <v>1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8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>
        <v>0</v>
      </c>
      <c r="X52" t="s">
        <v>8</v>
      </c>
      <c r="Y52" t="s">
        <v>8</v>
      </c>
      <c r="Z52" t="s">
        <v>8</v>
      </c>
      <c r="AA52" t="s">
        <v>8</v>
      </c>
      <c r="AB52" t="s">
        <v>8</v>
      </c>
      <c r="AC52">
        <v>27.1</v>
      </c>
    </row>
    <row r="53" spans="1:29" x14ac:dyDescent="0.25">
      <c r="A53">
        <v>52</v>
      </c>
      <c r="B53" t="s">
        <v>425</v>
      </c>
      <c r="C53" t="s">
        <v>6</v>
      </c>
      <c r="D53" s="4">
        <f t="shared" si="6"/>
        <v>1.7</v>
      </c>
      <c r="E53">
        <v>3.7</v>
      </c>
      <c r="F53">
        <v>26.1</v>
      </c>
      <c r="H53" s="7">
        <f t="shared" si="5"/>
        <v>0</v>
      </c>
      <c r="L53" t="s">
        <v>8</v>
      </c>
      <c r="M53" t="s">
        <v>8</v>
      </c>
      <c r="N53" t="s">
        <v>8</v>
      </c>
      <c r="O53">
        <v>4.2</v>
      </c>
      <c r="P53" t="s">
        <v>8</v>
      </c>
      <c r="Q53" t="s">
        <v>8</v>
      </c>
      <c r="R53" t="s">
        <v>8</v>
      </c>
      <c r="S53">
        <v>0.4</v>
      </c>
      <c r="T53" t="s">
        <v>8</v>
      </c>
      <c r="U53" t="s">
        <v>7</v>
      </c>
      <c r="V53">
        <v>7.6</v>
      </c>
      <c r="W53">
        <v>11.5</v>
      </c>
      <c r="X53" t="s">
        <v>8</v>
      </c>
      <c r="Y53">
        <v>0.5</v>
      </c>
      <c r="Z53">
        <v>0.2</v>
      </c>
      <c r="AA53">
        <v>1.7</v>
      </c>
      <c r="AB53" t="s">
        <v>8</v>
      </c>
      <c r="AC53" t="s">
        <v>8</v>
      </c>
    </row>
    <row r="54" spans="1:29" x14ac:dyDescent="0.25">
      <c r="A54">
        <v>53</v>
      </c>
      <c r="B54" t="s">
        <v>416</v>
      </c>
      <c r="C54" t="s">
        <v>90</v>
      </c>
      <c r="D54" s="4">
        <f t="shared" si="6"/>
        <v>4.7</v>
      </c>
      <c r="E54">
        <v>5.0999999999999996</v>
      </c>
      <c r="F54">
        <v>25.6</v>
      </c>
      <c r="H54" s="7">
        <f t="shared" si="5"/>
        <v>0</v>
      </c>
      <c r="L54" t="s">
        <v>8</v>
      </c>
      <c r="M54" t="s">
        <v>8</v>
      </c>
      <c r="N54" t="s">
        <v>8</v>
      </c>
      <c r="O54">
        <v>0.8</v>
      </c>
      <c r="P54" t="s">
        <v>8</v>
      </c>
      <c r="Q54" t="s">
        <v>8</v>
      </c>
      <c r="R54">
        <v>0</v>
      </c>
      <c r="S54" t="s">
        <v>8</v>
      </c>
      <c r="T54">
        <v>6.3</v>
      </c>
      <c r="U54" t="s">
        <v>8</v>
      </c>
      <c r="V54" t="s">
        <v>8</v>
      </c>
      <c r="W54" t="s">
        <v>8</v>
      </c>
      <c r="X54" t="s">
        <v>8</v>
      </c>
      <c r="Y54" t="s">
        <v>8</v>
      </c>
      <c r="Z54" t="s">
        <v>8</v>
      </c>
      <c r="AA54" t="s">
        <v>8</v>
      </c>
      <c r="AB54">
        <v>4.7</v>
      </c>
      <c r="AC54">
        <v>13.8</v>
      </c>
    </row>
    <row r="55" spans="1:29" x14ac:dyDescent="0.25">
      <c r="A55">
        <v>54</v>
      </c>
      <c r="B55" t="s">
        <v>624</v>
      </c>
      <c r="C55" t="s">
        <v>90</v>
      </c>
      <c r="D55" s="4">
        <f t="shared" si="6"/>
        <v>2.95</v>
      </c>
      <c r="E55">
        <v>4.2</v>
      </c>
      <c r="F55">
        <v>25</v>
      </c>
      <c r="H55" s="7">
        <f t="shared" si="5"/>
        <v>0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>
        <v>5.8</v>
      </c>
      <c r="R55">
        <v>6.4</v>
      </c>
      <c r="S55">
        <v>12.6</v>
      </c>
      <c r="T55">
        <v>0</v>
      </c>
      <c r="U55">
        <v>0</v>
      </c>
      <c r="V55" t="s">
        <v>8</v>
      </c>
      <c r="W55">
        <v>0.1</v>
      </c>
      <c r="X55" t="s">
        <v>8</v>
      </c>
      <c r="Y55" t="s">
        <v>8</v>
      </c>
      <c r="Z55" t="s">
        <v>8</v>
      </c>
      <c r="AA55" t="s">
        <v>8</v>
      </c>
      <c r="AB55" t="s">
        <v>8</v>
      </c>
      <c r="AC55" t="s">
        <v>8</v>
      </c>
    </row>
    <row r="56" spans="1:29" x14ac:dyDescent="0.25">
      <c r="A56">
        <v>55</v>
      </c>
      <c r="B56" t="s">
        <v>382</v>
      </c>
      <c r="C56" t="s">
        <v>53</v>
      </c>
      <c r="D56" s="4">
        <f t="shared" si="6"/>
        <v>-0.1</v>
      </c>
      <c r="E56">
        <v>2.4</v>
      </c>
      <c r="F56">
        <v>24.4</v>
      </c>
      <c r="H56" s="7">
        <f t="shared" si="5"/>
        <v>0</v>
      </c>
      <c r="L56">
        <v>-0.2</v>
      </c>
      <c r="M56" t="s">
        <v>8</v>
      </c>
      <c r="N56">
        <v>-0.1</v>
      </c>
      <c r="O56">
        <v>-0.1</v>
      </c>
      <c r="P56">
        <v>-0.1</v>
      </c>
      <c r="Q56" t="s">
        <v>8</v>
      </c>
      <c r="R56" t="s">
        <v>8</v>
      </c>
      <c r="S56" t="s">
        <v>8</v>
      </c>
      <c r="T56" t="s">
        <v>8</v>
      </c>
      <c r="U56">
        <v>-0.1</v>
      </c>
      <c r="V56" t="s">
        <v>8</v>
      </c>
      <c r="W56" t="s">
        <v>8</v>
      </c>
      <c r="X56">
        <v>-0.1</v>
      </c>
      <c r="Y56" t="s">
        <v>8</v>
      </c>
      <c r="Z56">
        <v>0.6</v>
      </c>
      <c r="AA56">
        <v>7.1</v>
      </c>
      <c r="AB56">
        <v>-0.2</v>
      </c>
      <c r="AC56">
        <v>17.5</v>
      </c>
    </row>
    <row r="57" spans="1:29" x14ac:dyDescent="0.25">
      <c r="A57">
        <v>56</v>
      </c>
      <c r="B57" t="s">
        <v>415</v>
      </c>
      <c r="C57" t="s">
        <v>36</v>
      </c>
      <c r="D57" s="4">
        <f t="shared" si="6"/>
        <v>0.1</v>
      </c>
      <c r="E57">
        <v>7.9</v>
      </c>
      <c r="F57">
        <v>23.6</v>
      </c>
      <c r="H57" s="7">
        <f t="shared" si="5"/>
        <v>1</v>
      </c>
      <c r="L57" t="s">
        <v>8</v>
      </c>
      <c r="M57">
        <v>0</v>
      </c>
      <c r="N57">
        <v>23.5</v>
      </c>
      <c r="O57" t="s">
        <v>8</v>
      </c>
      <c r="P57">
        <v>0.1</v>
      </c>
      <c r="Q57" t="s">
        <v>8</v>
      </c>
      <c r="R57" t="s">
        <v>7</v>
      </c>
      <c r="S57" t="s">
        <v>8</v>
      </c>
      <c r="T57" t="s">
        <v>8</v>
      </c>
      <c r="U57" t="s">
        <v>8</v>
      </c>
      <c r="V57" t="s">
        <v>8</v>
      </c>
      <c r="W57" t="s">
        <v>8</v>
      </c>
      <c r="X57" t="s">
        <v>8</v>
      </c>
      <c r="Y57" t="s">
        <v>8</v>
      </c>
      <c r="Z57" t="s">
        <v>8</v>
      </c>
      <c r="AA57" t="s">
        <v>8</v>
      </c>
      <c r="AB57" t="s">
        <v>8</v>
      </c>
      <c r="AC57" t="s">
        <v>8</v>
      </c>
    </row>
    <row r="58" spans="1:29" x14ac:dyDescent="0.25">
      <c r="A58">
        <v>57</v>
      </c>
      <c r="B58" t="s">
        <v>419</v>
      </c>
      <c r="C58" t="s">
        <v>28</v>
      </c>
      <c r="D58" s="4">
        <f t="shared" si="6"/>
        <v>9</v>
      </c>
      <c r="E58">
        <v>7.6</v>
      </c>
      <c r="F58">
        <v>22.9</v>
      </c>
      <c r="H58" s="7">
        <f t="shared" si="5"/>
        <v>0</v>
      </c>
      <c r="L58" t="s">
        <v>8</v>
      </c>
      <c r="M58" t="s">
        <v>8</v>
      </c>
      <c r="N58" t="s">
        <v>8</v>
      </c>
      <c r="O58" t="s">
        <v>8</v>
      </c>
      <c r="P58" t="s">
        <v>8</v>
      </c>
      <c r="Q58" t="s">
        <v>8</v>
      </c>
      <c r="R58" t="s">
        <v>8</v>
      </c>
      <c r="S58" t="s">
        <v>8</v>
      </c>
      <c r="T58" t="s">
        <v>8</v>
      </c>
      <c r="U58" t="s">
        <v>8</v>
      </c>
      <c r="V58" t="s">
        <v>8</v>
      </c>
      <c r="W58" t="s">
        <v>8</v>
      </c>
      <c r="X58">
        <v>0</v>
      </c>
      <c r="Y58" t="s">
        <v>7</v>
      </c>
      <c r="Z58">
        <v>13.9</v>
      </c>
      <c r="AA58">
        <v>9</v>
      </c>
      <c r="AB58" t="s">
        <v>8</v>
      </c>
      <c r="AC58" t="s">
        <v>8</v>
      </c>
    </row>
    <row r="59" spans="1:29" x14ac:dyDescent="0.25">
      <c r="A59">
        <v>58</v>
      </c>
      <c r="B59" t="s">
        <v>450</v>
      </c>
      <c r="C59" t="s">
        <v>90</v>
      </c>
      <c r="D59" s="4">
        <f t="shared" si="6"/>
        <v>0.30000000000000004</v>
      </c>
      <c r="E59">
        <v>2.7</v>
      </c>
      <c r="F59">
        <v>21.5</v>
      </c>
      <c r="H59" s="7">
        <f t="shared" si="5"/>
        <v>0</v>
      </c>
      <c r="L59" t="s">
        <v>8</v>
      </c>
      <c r="M59" t="s">
        <v>8</v>
      </c>
      <c r="N59">
        <v>0.4</v>
      </c>
      <c r="O59" t="s">
        <v>8</v>
      </c>
      <c r="P59" t="s">
        <v>8</v>
      </c>
      <c r="Q59">
        <v>-0.2</v>
      </c>
      <c r="R59" t="s">
        <v>8</v>
      </c>
      <c r="S59" t="s">
        <v>8</v>
      </c>
      <c r="T59" t="s">
        <v>8</v>
      </c>
      <c r="U59">
        <v>0.2</v>
      </c>
      <c r="V59">
        <v>0</v>
      </c>
      <c r="W59" t="s">
        <v>8</v>
      </c>
      <c r="X59">
        <v>3.2</v>
      </c>
      <c r="Y59" t="s">
        <v>8</v>
      </c>
      <c r="Z59" t="s">
        <v>8</v>
      </c>
      <c r="AA59">
        <v>8.4</v>
      </c>
      <c r="AB59">
        <v>9.5</v>
      </c>
      <c r="AC59">
        <v>0</v>
      </c>
    </row>
    <row r="60" spans="1:29" x14ac:dyDescent="0.25">
      <c r="A60">
        <v>59</v>
      </c>
      <c r="B60" t="s">
        <v>434</v>
      </c>
      <c r="C60" t="s">
        <v>32</v>
      </c>
      <c r="D60" s="4">
        <f t="shared" si="6"/>
        <v>0.15000000000000002</v>
      </c>
      <c r="E60">
        <v>3</v>
      </c>
      <c r="F60">
        <v>17.8</v>
      </c>
      <c r="H60" s="7">
        <f t="shared" si="5"/>
        <v>0</v>
      </c>
      <c r="L60" t="s">
        <v>8</v>
      </c>
      <c r="M60" t="s">
        <v>8</v>
      </c>
      <c r="N60" t="s">
        <v>8</v>
      </c>
      <c r="O60" t="s">
        <v>8</v>
      </c>
      <c r="P60" t="s">
        <v>8</v>
      </c>
      <c r="Q60" t="s">
        <v>8</v>
      </c>
      <c r="R60" t="s">
        <v>7</v>
      </c>
      <c r="S60" t="s">
        <v>8</v>
      </c>
      <c r="T60" t="s">
        <v>8</v>
      </c>
      <c r="U60" t="s">
        <v>8</v>
      </c>
      <c r="V60">
        <v>0.1</v>
      </c>
      <c r="W60" t="s">
        <v>8</v>
      </c>
      <c r="X60">
        <v>0.7</v>
      </c>
      <c r="Y60">
        <v>0.2</v>
      </c>
      <c r="Z60">
        <v>0</v>
      </c>
      <c r="AA60">
        <v>16.899999999999999</v>
      </c>
      <c r="AB60">
        <v>0</v>
      </c>
      <c r="AC60" t="s">
        <v>8</v>
      </c>
    </row>
    <row r="61" spans="1:29" x14ac:dyDescent="0.25">
      <c r="A61">
        <v>60</v>
      </c>
      <c r="B61" t="s">
        <v>457</v>
      </c>
      <c r="C61" t="s">
        <v>90</v>
      </c>
      <c r="D61" s="4">
        <f t="shared" si="6"/>
        <v>15.9</v>
      </c>
      <c r="E61">
        <v>15.9</v>
      </c>
      <c r="F61">
        <v>15.9</v>
      </c>
      <c r="H61" s="7">
        <f t="shared" si="5"/>
        <v>0</v>
      </c>
      <c r="L61" t="s">
        <v>8</v>
      </c>
      <c r="M61" t="s">
        <v>8</v>
      </c>
      <c r="N61" t="s">
        <v>8</v>
      </c>
      <c r="O61" t="s">
        <v>8</v>
      </c>
      <c r="P61" t="s">
        <v>8</v>
      </c>
      <c r="Q61" t="s">
        <v>8</v>
      </c>
      <c r="R61" t="s">
        <v>8</v>
      </c>
      <c r="S61" t="s">
        <v>8</v>
      </c>
      <c r="T61" t="s">
        <v>8</v>
      </c>
      <c r="U61" t="s">
        <v>8</v>
      </c>
      <c r="V61" t="s">
        <v>8</v>
      </c>
      <c r="W61" t="s">
        <v>8</v>
      </c>
      <c r="X61" t="s">
        <v>8</v>
      </c>
      <c r="Y61" t="s">
        <v>8</v>
      </c>
      <c r="Z61" t="s">
        <v>8</v>
      </c>
      <c r="AA61" t="s">
        <v>8</v>
      </c>
      <c r="AB61" t="s">
        <v>8</v>
      </c>
      <c r="AC61">
        <v>15.9</v>
      </c>
    </row>
    <row r="62" spans="1:29" x14ac:dyDescent="0.25">
      <c r="A62">
        <v>61</v>
      </c>
      <c r="B62" t="s">
        <v>401</v>
      </c>
      <c r="C62" t="s">
        <v>55</v>
      </c>
      <c r="D62" s="4">
        <f t="shared" si="6"/>
        <v>0</v>
      </c>
      <c r="E62">
        <v>2.1</v>
      </c>
      <c r="F62">
        <v>15</v>
      </c>
      <c r="H62" s="7">
        <f t="shared" si="5"/>
        <v>0</v>
      </c>
      <c r="L62" t="s">
        <v>8</v>
      </c>
      <c r="M62" t="s">
        <v>8</v>
      </c>
      <c r="N62">
        <v>4</v>
      </c>
      <c r="O62">
        <v>-1</v>
      </c>
      <c r="P62">
        <v>-0.4</v>
      </c>
      <c r="Q62" t="s">
        <v>8</v>
      </c>
      <c r="R62" t="s">
        <v>8</v>
      </c>
      <c r="S62" t="s">
        <v>8</v>
      </c>
      <c r="T62" t="s">
        <v>8</v>
      </c>
      <c r="U62">
        <v>10.9</v>
      </c>
      <c r="V62" t="s">
        <v>8</v>
      </c>
      <c r="W62" t="s">
        <v>8</v>
      </c>
      <c r="X62">
        <v>1.6</v>
      </c>
      <c r="Y62">
        <v>-0.2</v>
      </c>
      <c r="Z62" t="s">
        <v>8</v>
      </c>
      <c r="AA62" t="s">
        <v>8</v>
      </c>
      <c r="AB62" t="s">
        <v>8</v>
      </c>
      <c r="AC62">
        <v>0</v>
      </c>
    </row>
    <row r="63" spans="1:29" x14ac:dyDescent="0.25">
      <c r="A63">
        <v>62</v>
      </c>
      <c r="B63" t="s">
        <v>430</v>
      </c>
      <c r="C63" t="s">
        <v>47</v>
      </c>
      <c r="D63" s="4">
        <f t="shared" si="6"/>
        <v>5.0999999999999996</v>
      </c>
      <c r="E63">
        <v>5</v>
      </c>
      <c r="F63">
        <v>14.9</v>
      </c>
      <c r="H63" s="7">
        <f t="shared" si="5"/>
        <v>0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  <c r="Q63" t="s">
        <v>8</v>
      </c>
      <c r="R63" t="s">
        <v>7</v>
      </c>
      <c r="S63" t="s">
        <v>8</v>
      </c>
      <c r="T63" t="s">
        <v>8</v>
      </c>
      <c r="U63" t="s">
        <v>8</v>
      </c>
      <c r="V63">
        <v>0.4</v>
      </c>
      <c r="W63">
        <v>9.4</v>
      </c>
      <c r="X63">
        <v>5.0999999999999996</v>
      </c>
      <c r="Y63" t="s">
        <v>8</v>
      </c>
      <c r="Z63" t="s">
        <v>8</v>
      </c>
      <c r="AA63" t="s">
        <v>8</v>
      </c>
      <c r="AB63" t="s">
        <v>8</v>
      </c>
      <c r="AC63" t="s">
        <v>8</v>
      </c>
    </row>
    <row r="64" spans="1:29" x14ac:dyDescent="0.25">
      <c r="A64">
        <v>63</v>
      </c>
      <c r="B64" t="s">
        <v>420</v>
      </c>
      <c r="C64" t="s">
        <v>60</v>
      </c>
      <c r="D64" s="4">
        <f t="shared" si="6"/>
        <v>1.2</v>
      </c>
      <c r="E64">
        <v>4.3</v>
      </c>
      <c r="F64">
        <v>12.8</v>
      </c>
      <c r="H64" s="7">
        <f t="shared" si="5"/>
        <v>0</v>
      </c>
      <c r="L64" t="s">
        <v>8</v>
      </c>
      <c r="M64" t="s">
        <v>8</v>
      </c>
      <c r="N64" t="s">
        <v>8</v>
      </c>
      <c r="O64" t="s">
        <v>8</v>
      </c>
      <c r="P64" t="s">
        <v>8</v>
      </c>
      <c r="Q64" t="s">
        <v>8</v>
      </c>
      <c r="R64" t="s">
        <v>8</v>
      </c>
      <c r="S64" t="s">
        <v>8</v>
      </c>
      <c r="T64" t="s">
        <v>8</v>
      </c>
      <c r="U64" t="s">
        <v>8</v>
      </c>
      <c r="V64" t="s">
        <v>8</v>
      </c>
      <c r="W64" t="s">
        <v>8</v>
      </c>
      <c r="X64">
        <v>1.2</v>
      </c>
      <c r="Y64">
        <v>0</v>
      </c>
      <c r="Z64" t="s">
        <v>8</v>
      </c>
      <c r="AA64" t="s">
        <v>8</v>
      </c>
      <c r="AB64" t="s">
        <v>8</v>
      </c>
      <c r="AC64">
        <v>11.5</v>
      </c>
    </row>
    <row r="65" spans="1:32" x14ac:dyDescent="0.25">
      <c r="A65">
        <v>64</v>
      </c>
      <c r="B65" t="s">
        <v>625</v>
      </c>
      <c r="C65" t="s">
        <v>43</v>
      </c>
      <c r="D65" s="4">
        <f t="shared" si="6"/>
        <v>6.4</v>
      </c>
      <c r="E65">
        <v>6.4</v>
      </c>
      <c r="F65">
        <v>12.7</v>
      </c>
      <c r="H65" s="7">
        <f t="shared" si="5"/>
        <v>0</v>
      </c>
      <c r="L65" t="s">
        <v>8</v>
      </c>
      <c r="M65" t="s">
        <v>8</v>
      </c>
      <c r="N65" t="s">
        <v>8</v>
      </c>
      <c r="O65" t="s">
        <v>8</v>
      </c>
      <c r="P65" t="s">
        <v>8</v>
      </c>
      <c r="Q65" t="s">
        <v>8</v>
      </c>
      <c r="R65" t="s">
        <v>8</v>
      </c>
      <c r="S65" t="s">
        <v>8</v>
      </c>
      <c r="T65" t="s">
        <v>8</v>
      </c>
      <c r="U65" t="s">
        <v>8</v>
      </c>
      <c r="V65" t="s">
        <v>8</v>
      </c>
      <c r="W65" t="s">
        <v>8</v>
      </c>
      <c r="X65" t="s">
        <v>7</v>
      </c>
      <c r="Y65" t="s">
        <v>8</v>
      </c>
      <c r="Z65">
        <v>12.3</v>
      </c>
      <c r="AA65">
        <v>0.5</v>
      </c>
      <c r="AB65" t="s">
        <v>8</v>
      </c>
      <c r="AC65" t="s">
        <v>8</v>
      </c>
    </row>
    <row r="66" spans="1:32" x14ac:dyDescent="0.25">
      <c r="A66">
        <v>65</v>
      </c>
      <c r="B66" t="s">
        <v>461</v>
      </c>
      <c r="C66" t="s">
        <v>28</v>
      </c>
      <c r="D66" s="4">
        <f t="shared" ref="D66:D89" si="7">MEDIAN(L66:AC66)</f>
        <v>0.15000000000000002</v>
      </c>
      <c r="E66">
        <v>1.2</v>
      </c>
      <c r="F66">
        <v>9.5</v>
      </c>
      <c r="H66" s="7">
        <f t="shared" si="5"/>
        <v>0</v>
      </c>
      <c r="L66">
        <v>0</v>
      </c>
      <c r="M66" t="s">
        <v>8</v>
      </c>
      <c r="N66" t="s">
        <v>8</v>
      </c>
      <c r="O66" t="s">
        <v>8</v>
      </c>
      <c r="P66" t="s">
        <v>8</v>
      </c>
      <c r="Q66" t="s">
        <v>8</v>
      </c>
      <c r="R66">
        <v>0.2</v>
      </c>
      <c r="S66" t="s">
        <v>8</v>
      </c>
      <c r="T66">
        <v>1.1000000000000001</v>
      </c>
      <c r="U66">
        <v>6.1</v>
      </c>
      <c r="V66" t="s">
        <v>8</v>
      </c>
      <c r="W66">
        <v>2</v>
      </c>
      <c r="X66" t="s">
        <v>8</v>
      </c>
      <c r="Y66" t="s">
        <v>7</v>
      </c>
      <c r="Z66">
        <v>0</v>
      </c>
      <c r="AA66" t="s">
        <v>8</v>
      </c>
      <c r="AB66">
        <v>0</v>
      </c>
      <c r="AC66">
        <v>0.1</v>
      </c>
    </row>
    <row r="67" spans="1:32" x14ac:dyDescent="0.25">
      <c r="A67">
        <v>66</v>
      </c>
      <c r="B67" t="s">
        <v>626</v>
      </c>
      <c r="C67" t="s">
        <v>90</v>
      </c>
      <c r="D67" s="4">
        <f t="shared" si="7"/>
        <v>4.45</v>
      </c>
      <c r="E67">
        <v>4.5</v>
      </c>
      <c r="F67">
        <v>8.9</v>
      </c>
      <c r="H67" s="7">
        <f t="shared" ref="H67:H89" si="8">COUNTIFS(L67:AC67,"&gt;=20",L67:AC67,"&lt;=99")</f>
        <v>0</v>
      </c>
      <c r="L67" t="s">
        <v>8</v>
      </c>
      <c r="M67" t="s">
        <v>8</v>
      </c>
      <c r="N67">
        <v>-0.9</v>
      </c>
      <c r="O67" t="s">
        <v>8</v>
      </c>
      <c r="P67" t="s">
        <v>8</v>
      </c>
      <c r="Q67" t="s">
        <v>8</v>
      </c>
      <c r="R67" t="s">
        <v>8</v>
      </c>
      <c r="S67" t="s">
        <v>8</v>
      </c>
      <c r="T67" t="s">
        <v>8</v>
      </c>
      <c r="U67" t="s">
        <v>8</v>
      </c>
      <c r="V67" t="s">
        <v>8</v>
      </c>
      <c r="W67" t="s">
        <v>8</v>
      </c>
      <c r="X67" t="s">
        <v>8</v>
      </c>
      <c r="Y67" t="s">
        <v>8</v>
      </c>
      <c r="Z67" t="s">
        <v>8</v>
      </c>
      <c r="AA67" t="s">
        <v>8</v>
      </c>
      <c r="AB67" t="s">
        <v>8</v>
      </c>
      <c r="AC67">
        <v>9.8000000000000007</v>
      </c>
    </row>
    <row r="68" spans="1:32" x14ac:dyDescent="0.25">
      <c r="A68">
        <v>67</v>
      </c>
      <c r="B68" t="s">
        <v>627</v>
      </c>
      <c r="C68" t="s">
        <v>90</v>
      </c>
      <c r="D68" s="4">
        <f t="shared" si="7"/>
        <v>3.5</v>
      </c>
      <c r="E68">
        <v>3.5</v>
      </c>
      <c r="F68">
        <v>6.9</v>
      </c>
      <c r="H68" s="7">
        <f t="shared" si="8"/>
        <v>0</v>
      </c>
      <c r="L68" t="s">
        <v>8</v>
      </c>
      <c r="M68" t="s">
        <v>8</v>
      </c>
      <c r="N68" t="s">
        <v>8</v>
      </c>
      <c r="O68" t="s">
        <v>8</v>
      </c>
      <c r="P68" t="s">
        <v>8</v>
      </c>
      <c r="Q68">
        <v>3.8</v>
      </c>
      <c r="R68">
        <v>3.2</v>
      </c>
      <c r="S68" t="s">
        <v>8</v>
      </c>
      <c r="T68" t="s">
        <v>8</v>
      </c>
      <c r="U68" t="s">
        <v>8</v>
      </c>
      <c r="V68" t="s">
        <v>8</v>
      </c>
      <c r="W68" t="s">
        <v>8</v>
      </c>
      <c r="X68" t="s">
        <v>8</v>
      </c>
      <c r="Y68" t="s">
        <v>8</v>
      </c>
      <c r="Z68" t="s">
        <v>8</v>
      </c>
      <c r="AA68" t="s">
        <v>8</v>
      </c>
      <c r="AB68" t="s">
        <v>8</v>
      </c>
      <c r="AC68" t="s">
        <v>8</v>
      </c>
      <c r="AF68" s="3">
        <f>MEDIAN(L47:AC71)</f>
        <v>0.95000000000000007</v>
      </c>
    </row>
    <row r="69" spans="1:32" x14ac:dyDescent="0.25">
      <c r="A69">
        <v>68</v>
      </c>
      <c r="B69" t="s">
        <v>628</v>
      </c>
      <c r="C69" t="s">
        <v>38</v>
      </c>
      <c r="D69" s="4">
        <f t="shared" si="7"/>
        <v>2.8999999999999995</v>
      </c>
      <c r="E69">
        <v>2.9</v>
      </c>
      <c r="F69">
        <v>5.8</v>
      </c>
      <c r="H69" s="7">
        <f t="shared" si="8"/>
        <v>0</v>
      </c>
      <c r="L69" t="s">
        <v>8</v>
      </c>
      <c r="M69" t="s">
        <v>8</v>
      </c>
      <c r="N69" t="s">
        <v>8</v>
      </c>
      <c r="O69" t="s">
        <v>8</v>
      </c>
      <c r="P69" t="s">
        <v>8</v>
      </c>
      <c r="Q69" t="s">
        <v>8</v>
      </c>
      <c r="R69" t="s">
        <v>8</v>
      </c>
      <c r="S69">
        <v>1.7</v>
      </c>
      <c r="T69">
        <v>4.0999999999999996</v>
      </c>
      <c r="U69" t="s">
        <v>8</v>
      </c>
      <c r="V69" t="s">
        <v>8</v>
      </c>
      <c r="W69" t="s">
        <v>8</v>
      </c>
      <c r="X69" t="s">
        <v>7</v>
      </c>
      <c r="Y69" t="s">
        <v>8</v>
      </c>
      <c r="Z69" t="s">
        <v>8</v>
      </c>
      <c r="AA69" t="s">
        <v>8</v>
      </c>
      <c r="AB69" t="s">
        <v>8</v>
      </c>
      <c r="AC69" t="s">
        <v>8</v>
      </c>
    </row>
    <row r="70" spans="1:32" x14ac:dyDescent="0.25">
      <c r="A70">
        <v>69</v>
      </c>
      <c r="B70" t="s">
        <v>406</v>
      </c>
      <c r="C70" t="s">
        <v>12</v>
      </c>
      <c r="D70" s="4">
        <f t="shared" si="7"/>
        <v>0.2</v>
      </c>
      <c r="E70">
        <v>0.5</v>
      </c>
      <c r="F70">
        <v>4.3</v>
      </c>
      <c r="H70" s="7">
        <f t="shared" si="8"/>
        <v>0</v>
      </c>
      <c r="L70">
        <v>0</v>
      </c>
      <c r="M70">
        <v>0</v>
      </c>
      <c r="N70" t="s">
        <v>8</v>
      </c>
      <c r="O70">
        <v>0.6</v>
      </c>
      <c r="P70">
        <v>0.1</v>
      </c>
      <c r="Q70" t="s">
        <v>8</v>
      </c>
      <c r="R70" t="s">
        <v>8</v>
      </c>
      <c r="S70">
        <v>-0.2</v>
      </c>
      <c r="T70" t="s">
        <v>8</v>
      </c>
      <c r="U70">
        <v>2.2000000000000002</v>
      </c>
      <c r="V70">
        <v>0.3</v>
      </c>
      <c r="W70" t="s">
        <v>8</v>
      </c>
      <c r="X70" t="s">
        <v>7</v>
      </c>
      <c r="Y70" t="s">
        <v>8</v>
      </c>
      <c r="Z70" t="s">
        <v>8</v>
      </c>
      <c r="AA70" t="s">
        <v>8</v>
      </c>
      <c r="AB70" t="s">
        <v>8</v>
      </c>
      <c r="AC70">
        <v>1.2</v>
      </c>
    </row>
    <row r="71" spans="1:32" x14ac:dyDescent="0.25">
      <c r="A71">
        <v>70</v>
      </c>
      <c r="B71" t="s">
        <v>455</v>
      </c>
      <c r="C71" t="s">
        <v>90</v>
      </c>
      <c r="D71" s="4">
        <f t="shared" si="7"/>
        <v>0.1</v>
      </c>
      <c r="E71">
        <v>1</v>
      </c>
      <c r="F71">
        <v>3.1</v>
      </c>
      <c r="H71" s="7">
        <f t="shared" si="8"/>
        <v>0</v>
      </c>
      <c r="L71" t="s">
        <v>8</v>
      </c>
      <c r="M71" t="s">
        <v>8</v>
      </c>
      <c r="N71" t="s">
        <v>8</v>
      </c>
      <c r="O71" t="s">
        <v>8</v>
      </c>
      <c r="P71" t="s">
        <v>8</v>
      </c>
      <c r="Q71" t="s">
        <v>8</v>
      </c>
      <c r="R71" t="s">
        <v>8</v>
      </c>
      <c r="S71">
        <v>-1.2</v>
      </c>
      <c r="T71">
        <v>4.2</v>
      </c>
      <c r="U71" t="s">
        <v>8</v>
      </c>
      <c r="V71" t="s">
        <v>8</v>
      </c>
      <c r="W71" t="s">
        <v>8</v>
      </c>
      <c r="X71" t="s">
        <v>8</v>
      </c>
      <c r="Y71" t="s">
        <v>8</v>
      </c>
      <c r="Z71" t="s">
        <v>8</v>
      </c>
      <c r="AA71" t="s">
        <v>8</v>
      </c>
      <c r="AB71">
        <v>0.1</v>
      </c>
      <c r="AC71" t="s">
        <v>8</v>
      </c>
    </row>
    <row r="72" spans="1:32" x14ac:dyDescent="0.25">
      <c r="A72">
        <v>71</v>
      </c>
      <c r="B72" t="s">
        <v>417</v>
      </c>
      <c r="C72" t="s">
        <v>16</v>
      </c>
      <c r="D72" s="4">
        <f t="shared" si="7"/>
        <v>1.5500000000000003</v>
      </c>
      <c r="E72">
        <v>1.5</v>
      </c>
      <c r="F72">
        <v>3.1</v>
      </c>
      <c r="H72" s="7">
        <f t="shared" si="8"/>
        <v>0</v>
      </c>
      <c r="L72" t="s">
        <v>8</v>
      </c>
      <c r="M72" t="s">
        <v>8</v>
      </c>
      <c r="N72" t="s">
        <v>8</v>
      </c>
      <c r="O72" t="s">
        <v>8</v>
      </c>
      <c r="P72" t="s">
        <v>8</v>
      </c>
      <c r="Q72">
        <v>4.7</v>
      </c>
      <c r="R72" t="s">
        <v>8</v>
      </c>
      <c r="S72">
        <v>-1.6</v>
      </c>
      <c r="T72" t="s">
        <v>8</v>
      </c>
      <c r="U72" t="s">
        <v>8</v>
      </c>
      <c r="V72" t="s">
        <v>8</v>
      </c>
      <c r="W72" t="s">
        <v>8</v>
      </c>
      <c r="X72" t="s">
        <v>8</v>
      </c>
      <c r="Y72" t="s">
        <v>8</v>
      </c>
      <c r="Z72" t="s">
        <v>8</v>
      </c>
      <c r="AA72" t="s">
        <v>8</v>
      </c>
      <c r="AB72" t="s">
        <v>8</v>
      </c>
      <c r="AC72" t="s">
        <v>8</v>
      </c>
    </row>
    <row r="73" spans="1:32" x14ac:dyDescent="0.25">
      <c r="A73">
        <v>72</v>
      </c>
      <c r="B73" t="s">
        <v>443</v>
      </c>
      <c r="C73" t="s">
        <v>22</v>
      </c>
      <c r="D73" s="4">
        <f t="shared" si="7"/>
        <v>-0.1</v>
      </c>
      <c r="E73">
        <v>0.5</v>
      </c>
      <c r="F73">
        <v>3.1</v>
      </c>
      <c r="H73" s="7">
        <f t="shared" si="8"/>
        <v>0</v>
      </c>
      <c r="L73" t="s">
        <v>8</v>
      </c>
      <c r="M73" t="s">
        <v>8</v>
      </c>
      <c r="N73">
        <v>6.6</v>
      </c>
      <c r="O73" t="s">
        <v>8</v>
      </c>
      <c r="P73" t="s">
        <v>8</v>
      </c>
      <c r="Q73">
        <v>-1.4</v>
      </c>
      <c r="R73" t="s">
        <v>8</v>
      </c>
      <c r="S73" t="s">
        <v>8</v>
      </c>
      <c r="T73" t="s">
        <v>8</v>
      </c>
      <c r="U73" t="s">
        <v>8</v>
      </c>
      <c r="V73" t="s">
        <v>8</v>
      </c>
      <c r="W73">
        <v>-0.2</v>
      </c>
      <c r="X73">
        <v>0.1</v>
      </c>
      <c r="Y73" t="s">
        <v>8</v>
      </c>
      <c r="Z73">
        <v>0</v>
      </c>
      <c r="AA73" t="s">
        <v>8</v>
      </c>
      <c r="AB73">
        <v>-2</v>
      </c>
      <c r="AC73" t="s">
        <v>8</v>
      </c>
    </row>
    <row r="74" spans="1:32" x14ac:dyDescent="0.25">
      <c r="A74">
        <v>73</v>
      </c>
      <c r="B74" t="s">
        <v>629</v>
      </c>
      <c r="C74" t="s">
        <v>16</v>
      </c>
      <c r="D74" s="4">
        <f t="shared" si="7"/>
        <v>0.65</v>
      </c>
      <c r="E74">
        <v>0.6</v>
      </c>
      <c r="F74">
        <v>1.3</v>
      </c>
      <c r="H74" s="7">
        <f t="shared" si="8"/>
        <v>0</v>
      </c>
      <c r="L74">
        <v>0</v>
      </c>
      <c r="M74" t="s">
        <v>8</v>
      </c>
      <c r="N74" t="s">
        <v>8</v>
      </c>
      <c r="O74" t="s">
        <v>8</v>
      </c>
      <c r="P74" t="s">
        <v>8</v>
      </c>
      <c r="Q74" t="s">
        <v>7</v>
      </c>
      <c r="R74" t="s">
        <v>8</v>
      </c>
      <c r="S74" t="s">
        <v>8</v>
      </c>
      <c r="T74" t="s">
        <v>8</v>
      </c>
      <c r="U74" t="s">
        <v>8</v>
      </c>
      <c r="V74" t="s">
        <v>8</v>
      </c>
      <c r="W74" t="s">
        <v>8</v>
      </c>
      <c r="X74" t="s">
        <v>8</v>
      </c>
      <c r="Y74" t="s">
        <v>8</v>
      </c>
      <c r="Z74" t="s">
        <v>8</v>
      </c>
      <c r="AA74" t="s">
        <v>8</v>
      </c>
      <c r="AB74">
        <v>1.3</v>
      </c>
      <c r="AC74" t="s">
        <v>8</v>
      </c>
    </row>
    <row r="75" spans="1:32" x14ac:dyDescent="0.25">
      <c r="A75">
        <v>74</v>
      </c>
      <c r="B75" t="s">
        <v>630</v>
      </c>
      <c r="C75" t="s">
        <v>90</v>
      </c>
      <c r="D75" s="4">
        <f t="shared" si="7"/>
        <v>0.4</v>
      </c>
      <c r="E75">
        <v>0.4</v>
      </c>
      <c r="F75">
        <v>0.8</v>
      </c>
      <c r="H75" s="7">
        <f t="shared" si="8"/>
        <v>0</v>
      </c>
      <c r="L75" t="s">
        <v>8</v>
      </c>
      <c r="M75" t="s">
        <v>8</v>
      </c>
      <c r="N75" t="s">
        <v>8</v>
      </c>
      <c r="O75" t="s">
        <v>8</v>
      </c>
      <c r="P75" t="s">
        <v>8</v>
      </c>
      <c r="Q75" t="s">
        <v>8</v>
      </c>
      <c r="R75" t="s">
        <v>8</v>
      </c>
      <c r="S75" t="s">
        <v>8</v>
      </c>
      <c r="T75" t="s">
        <v>8</v>
      </c>
      <c r="U75" t="s">
        <v>8</v>
      </c>
      <c r="V75" t="s">
        <v>8</v>
      </c>
      <c r="W75" t="s">
        <v>8</v>
      </c>
      <c r="X75" t="s">
        <v>8</v>
      </c>
      <c r="Y75">
        <v>0</v>
      </c>
      <c r="Z75" t="s">
        <v>8</v>
      </c>
      <c r="AA75" t="s">
        <v>8</v>
      </c>
      <c r="AB75" t="s">
        <v>8</v>
      </c>
      <c r="AC75">
        <v>0.8</v>
      </c>
    </row>
    <row r="76" spans="1:32" x14ac:dyDescent="0.25">
      <c r="A76">
        <v>75</v>
      </c>
      <c r="B76" t="s">
        <v>631</v>
      </c>
      <c r="C76" t="s">
        <v>90</v>
      </c>
      <c r="D76" s="4">
        <f t="shared" si="7"/>
        <v>0.7</v>
      </c>
      <c r="E76">
        <v>0.7</v>
      </c>
      <c r="F76">
        <v>0.7</v>
      </c>
      <c r="H76" s="7">
        <f t="shared" si="8"/>
        <v>0</v>
      </c>
      <c r="L76" t="s">
        <v>8</v>
      </c>
      <c r="M76" t="s">
        <v>8</v>
      </c>
      <c r="N76" t="s">
        <v>8</v>
      </c>
      <c r="O76" t="s">
        <v>8</v>
      </c>
      <c r="P76" t="s">
        <v>8</v>
      </c>
      <c r="Q76" t="s">
        <v>8</v>
      </c>
      <c r="R76" t="s">
        <v>8</v>
      </c>
      <c r="S76" t="s">
        <v>8</v>
      </c>
      <c r="T76" t="s">
        <v>8</v>
      </c>
      <c r="U76" t="s">
        <v>8</v>
      </c>
      <c r="V76" t="s">
        <v>8</v>
      </c>
      <c r="W76" t="s">
        <v>8</v>
      </c>
      <c r="X76" t="s">
        <v>8</v>
      </c>
      <c r="Y76" t="s">
        <v>8</v>
      </c>
      <c r="Z76" t="s">
        <v>8</v>
      </c>
      <c r="AA76" t="s">
        <v>8</v>
      </c>
      <c r="AB76" t="s">
        <v>8</v>
      </c>
      <c r="AC76">
        <v>0.7</v>
      </c>
    </row>
    <row r="77" spans="1:32" x14ac:dyDescent="0.25">
      <c r="A77">
        <v>76</v>
      </c>
      <c r="B77" t="s">
        <v>388</v>
      </c>
      <c r="C77" t="s">
        <v>78</v>
      </c>
      <c r="D77" s="4">
        <f t="shared" si="7"/>
        <v>0</v>
      </c>
      <c r="E77">
        <v>0</v>
      </c>
      <c r="F77">
        <v>0</v>
      </c>
      <c r="H77" s="7">
        <f t="shared" si="8"/>
        <v>0</v>
      </c>
      <c r="L77">
        <v>0</v>
      </c>
      <c r="M77" t="s">
        <v>8</v>
      </c>
      <c r="N77" t="s">
        <v>8</v>
      </c>
      <c r="O77" t="s">
        <v>8</v>
      </c>
      <c r="P77" t="s">
        <v>8</v>
      </c>
      <c r="Q77" t="s">
        <v>7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 t="s">
        <v>8</v>
      </c>
      <c r="X77" t="s">
        <v>8</v>
      </c>
      <c r="Y77" t="s">
        <v>8</v>
      </c>
      <c r="Z77" t="s">
        <v>8</v>
      </c>
      <c r="AA77" t="s">
        <v>8</v>
      </c>
      <c r="AB77" t="s">
        <v>8</v>
      </c>
      <c r="AC77" t="s">
        <v>8</v>
      </c>
    </row>
    <row r="78" spans="1:32" x14ac:dyDescent="0.25">
      <c r="A78">
        <v>76</v>
      </c>
      <c r="B78" t="s">
        <v>632</v>
      </c>
      <c r="C78" t="s">
        <v>90</v>
      </c>
      <c r="D78" s="4">
        <f t="shared" si="7"/>
        <v>0</v>
      </c>
      <c r="E78">
        <v>0</v>
      </c>
      <c r="F78">
        <v>0</v>
      </c>
      <c r="H78" s="7">
        <f t="shared" si="8"/>
        <v>0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  <c r="Q78" t="s">
        <v>8</v>
      </c>
      <c r="R78" t="s">
        <v>8</v>
      </c>
      <c r="S78" t="s">
        <v>8</v>
      </c>
      <c r="T78" t="s">
        <v>8</v>
      </c>
      <c r="U78" t="s">
        <v>8</v>
      </c>
      <c r="V78">
        <v>0</v>
      </c>
      <c r="W78">
        <v>0</v>
      </c>
      <c r="X78" t="s">
        <v>8</v>
      </c>
      <c r="Y78" t="s">
        <v>8</v>
      </c>
      <c r="Z78" t="s">
        <v>8</v>
      </c>
      <c r="AA78" t="s">
        <v>8</v>
      </c>
      <c r="AB78" t="s">
        <v>8</v>
      </c>
      <c r="AC78" t="s">
        <v>8</v>
      </c>
    </row>
    <row r="79" spans="1:32" x14ac:dyDescent="0.25">
      <c r="A79">
        <v>76</v>
      </c>
      <c r="B79" t="s">
        <v>633</v>
      </c>
      <c r="C79" t="s">
        <v>90</v>
      </c>
      <c r="D79" s="4">
        <f t="shared" si="7"/>
        <v>0</v>
      </c>
      <c r="E79">
        <v>0</v>
      </c>
      <c r="F79">
        <v>0</v>
      </c>
      <c r="H79" s="7">
        <f t="shared" si="8"/>
        <v>0</v>
      </c>
      <c r="L79" t="s">
        <v>8</v>
      </c>
      <c r="M79" t="s">
        <v>8</v>
      </c>
      <c r="N79" t="s">
        <v>8</v>
      </c>
      <c r="O79" t="s">
        <v>8</v>
      </c>
      <c r="P79" t="s">
        <v>8</v>
      </c>
      <c r="Q79" t="s">
        <v>8</v>
      </c>
      <c r="R79" t="s">
        <v>8</v>
      </c>
      <c r="S79" t="s">
        <v>8</v>
      </c>
      <c r="T79">
        <v>0</v>
      </c>
      <c r="U79" t="s">
        <v>8</v>
      </c>
      <c r="V79" t="s">
        <v>8</v>
      </c>
      <c r="W79" t="s">
        <v>8</v>
      </c>
      <c r="X79" t="s">
        <v>8</v>
      </c>
      <c r="Y79" t="s">
        <v>8</v>
      </c>
      <c r="Z79" t="s">
        <v>8</v>
      </c>
      <c r="AA79" t="s">
        <v>8</v>
      </c>
      <c r="AB79" t="s">
        <v>8</v>
      </c>
      <c r="AC79" t="s">
        <v>8</v>
      </c>
    </row>
    <row r="80" spans="1:32" x14ac:dyDescent="0.25">
      <c r="A80">
        <v>76</v>
      </c>
      <c r="B80" t="s">
        <v>634</v>
      </c>
      <c r="C80" t="s">
        <v>12</v>
      </c>
      <c r="D80" s="4">
        <f t="shared" si="7"/>
        <v>0</v>
      </c>
      <c r="E80">
        <v>0</v>
      </c>
      <c r="F80">
        <v>0</v>
      </c>
      <c r="H80" s="7">
        <f t="shared" si="8"/>
        <v>0</v>
      </c>
      <c r="L80" t="s">
        <v>8</v>
      </c>
      <c r="M80" t="s">
        <v>8</v>
      </c>
      <c r="N80" t="s">
        <v>8</v>
      </c>
      <c r="O80" t="s">
        <v>8</v>
      </c>
      <c r="P80" t="s">
        <v>8</v>
      </c>
      <c r="Q80">
        <v>0</v>
      </c>
      <c r="R80" t="s">
        <v>8</v>
      </c>
      <c r="S80" t="s">
        <v>8</v>
      </c>
      <c r="T80" t="s">
        <v>8</v>
      </c>
      <c r="U80" t="s">
        <v>8</v>
      </c>
      <c r="V80" t="s">
        <v>8</v>
      </c>
      <c r="W80" t="s">
        <v>8</v>
      </c>
      <c r="X80" t="s">
        <v>7</v>
      </c>
      <c r="Y80" t="s">
        <v>8</v>
      </c>
      <c r="Z80" t="s">
        <v>8</v>
      </c>
      <c r="AA80" t="s">
        <v>8</v>
      </c>
      <c r="AB80" t="s">
        <v>8</v>
      </c>
      <c r="AC80">
        <v>0</v>
      </c>
    </row>
    <row r="81" spans="1:29" x14ac:dyDescent="0.25">
      <c r="A81">
        <v>76</v>
      </c>
      <c r="B81" t="s">
        <v>446</v>
      </c>
      <c r="C81" t="s">
        <v>62</v>
      </c>
      <c r="D81" s="4">
        <f t="shared" si="7"/>
        <v>0</v>
      </c>
      <c r="E81">
        <v>0</v>
      </c>
      <c r="F81">
        <v>0</v>
      </c>
      <c r="H81" s="7">
        <f t="shared" si="8"/>
        <v>0</v>
      </c>
      <c r="L81" t="s">
        <v>8</v>
      </c>
      <c r="M81" t="s">
        <v>8</v>
      </c>
      <c r="N81" t="s">
        <v>8</v>
      </c>
      <c r="O81" t="s">
        <v>8</v>
      </c>
      <c r="P81" t="s">
        <v>8</v>
      </c>
      <c r="Q81">
        <v>0</v>
      </c>
      <c r="R81" t="s">
        <v>8</v>
      </c>
      <c r="S81">
        <v>0</v>
      </c>
      <c r="T81" t="s">
        <v>8</v>
      </c>
      <c r="U81" t="s">
        <v>7</v>
      </c>
      <c r="V81" t="s">
        <v>8</v>
      </c>
      <c r="W81" t="s">
        <v>8</v>
      </c>
      <c r="X81" t="s">
        <v>8</v>
      </c>
      <c r="Y81" t="s">
        <v>8</v>
      </c>
      <c r="Z81" t="s">
        <v>8</v>
      </c>
      <c r="AA81" t="s">
        <v>8</v>
      </c>
      <c r="AB81" t="s">
        <v>8</v>
      </c>
      <c r="AC81" t="s">
        <v>8</v>
      </c>
    </row>
    <row r="82" spans="1:29" x14ac:dyDescent="0.25">
      <c r="A82">
        <v>76</v>
      </c>
      <c r="B82" t="s">
        <v>635</v>
      </c>
      <c r="C82" t="s">
        <v>50</v>
      </c>
      <c r="D82" s="4">
        <f t="shared" si="7"/>
        <v>0</v>
      </c>
      <c r="E82">
        <v>0</v>
      </c>
      <c r="F82">
        <v>0</v>
      </c>
      <c r="H82" s="7">
        <f t="shared" si="8"/>
        <v>0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 t="s">
        <v>8</v>
      </c>
      <c r="R82" t="s">
        <v>8</v>
      </c>
      <c r="S82" t="s">
        <v>8</v>
      </c>
      <c r="T82" t="s">
        <v>7</v>
      </c>
      <c r="U82" t="s">
        <v>8</v>
      </c>
      <c r="V82" t="s">
        <v>8</v>
      </c>
      <c r="W82" t="s">
        <v>8</v>
      </c>
      <c r="X82" t="s">
        <v>8</v>
      </c>
      <c r="Y82">
        <v>0</v>
      </c>
      <c r="Z82" t="s">
        <v>8</v>
      </c>
      <c r="AA82" t="s">
        <v>8</v>
      </c>
      <c r="AB82" t="s">
        <v>8</v>
      </c>
      <c r="AC82" t="s">
        <v>8</v>
      </c>
    </row>
    <row r="83" spans="1:29" x14ac:dyDescent="0.25">
      <c r="A83">
        <v>76</v>
      </c>
      <c r="B83" t="s">
        <v>437</v>
      </c>
      <c r="C83" t="s">
        <v>78</v>
      </c>
      <c r="D83" s="4">
        <f t="shared" si="7"/>
        <v>0</v>
      </c>
      <c r="E83">
        <v>0</v>
      </c>
      <c r="F83">
        <v>0</v>
      </c>
      <c r="H83" s="7">
        <f t="shared" si="8"/>
        <v>0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  <c r="Q83" t="s">
        <v>7</v>
      </c>
      <c r="R83" t="s">
        <v>8</v>
      </c>
      <c r="S83" t="s">
        <v>8</v>
      </c>
      <c r="T83" t="s">
        <v>8</v>
      </c>
      <c r="U83" t="s">
        <v>8</v>
      </c>
      <c r="V83" t="s">
        <v>8</v>
      </c>
      <c r="W83" t="s">
        <v>8</v>
      </c>
      <c r="X83" t="s">
        <v>8</v>
      </c>
      <c r="Y83" t="s">
        <v>8</v>
      </c>
      <c r="Z83" t="s">
        <v>8</v>
      </c>
      <c r="AA83" t="s">
        <v>8</v>
      </c>
      <c r="AB83" t="s">
        <v>8</v>
      </c>
      <c r="AC83">
        <v>0</v>
      </c>
    </row>
    <row r="84" spans="1:29" x14ac:dyDescent="0.25">
      <c r="A84">
        <v>83</v>
      </c>
      <c r="B84" t="s">
        <v>459</v>
      </c>
      <c r="C84" t="s">
        <v>34</v>
      </c>
      <c r="D84" s="4">
        <f t="shared" si="7"/>
        <v>-0.05</v>
      </c>
      <c r="E84">
        <v>-0.1</v>
      </c>
      <c r="F84">
        <v>-0.1</v>
      </c>
      <c r="H84" s="7">
        <f t="shared" si="8"/>
        <v>0</v>
      </c>
      <c r="L84" t="s">
        <v>8</v>
      </c>
      <c r="M84" t="s">
        <v>8</v>
      </c>
      <c r="N84" t="s">
        <v>8</v>
      </c>
      <c r="O84" t="s">
        <v>8</v>
      </c>
      <c r="P84" t="s">
        <v>7</v>
      </c>
      <c r="Q84" t="s">
        <v>8</v>
      </c>
      <c r="R84" t="s">
        <v>8</v>
      </c>
      <c r="S84" t="s">
        <v>8</v>
      </c>
      <c r="T84" t="s">
        <v>8</v>
      </c>
      <c r="U84">
        <v>-0.1</v>
      </c>
      <c r="V84" t="s">
        <v>8</v>
      </c>
      <c r="W84">
        <v>0</v>
      </c>
      <c r="X84" t="s">
        <v>8</v>
      </c>
      <c r="Y84" t="s">
        <v>8</v>
      </c>
      <c r="Z84" t="s">
        <v>8</v>
      </c>
      <c r="AA84" t="s">
        <v>8</v>
      </c>
      <c r="AB84" t="s">
        <v>8</v>
      </c>
      <c r="AC84" t="s">
        <v>8</v>
      </c>
    </row>
    <row r="85" spans="1:29" x14ac:dyDescent="0.25">
      <c r="A85">
        <v>84</v>
      </c>
      <c r="B85" t="s">
        <v>636</v>
      </c>
      <c r="C85" t="s">
        <v>90</v>
      </c>
      <c r="D85" s="4">
        <f t="shared" si="7"/>
        <v>-0.2</v>
      </c>
      <c r="E85">
        <v>-0.2</v>
      </c>
      <c r="F85">
        <v>-0.2</v>
      </c>
      <c r="H85" s="7">
        <f t="shared" si="8"/>
        <v>0</v>
      </c>
      <c r="L85" t="s">
        <v>8</v>
      </c>
      <c r="M85" t="s">
        <v>8</v>
      </c>
      <c r="N85" t="s">
        <v>8</v>
      </c>
      <c r="O85" t="s">
        <v>8</v>
      </c>
      <c r="P85">
        <v>-0.2</v>
      </c>
      <c r="Q85" t="s">
        <v>8</v>
      </c>
      <c r="R85" t="s">
        <v>8</v>
      </c>
      <c r="S85" t="s">
        <v>8</v>
      </c>
      <c r="T85" t="s">
        <v>8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  <c r="Z85" t="s">
        <v>8</v>
      </c>
      <c r="AA85" t="s">
        <v>8</v>
      </c>
      <c r="AB85" t="s">
        <v>8</v>
      </c>
      <c r="AC85" t="s">
        <v>8</v>
      </c>
    </row>
    <row r="86" spans="1:29" x14ac:dyDescent="0.25">
      <c r="A86">
        <v>85</v>
      </c>
      <c r="B86" t="s">
        <v>637</v>
      </c>
      <c r="C86" t="s">
        <v>90</v>
      </c>
      <c r="D86" s="4">
        <f t="shared" si="7"/>
        <v>-0.3</v>
      </c>
      <c r="E86">
        <v>-0.3</v>
      </c>
      <c r="F86">
        <v>-0.3</v>
      </c>
      <c r="H86" s="7">
        <f t="shared" si="8"/>
        <v>0</v>
      </c>
      <c r="L86" t="s">
        <v>8</v>
      </c>
      <c r="M86" t="s">
        <v>8</v>
      </c>
      <c r="N86" t="s">
        <v>8</v>
      </c>
      <c r="O86" t="s">
        <v>8</v>
      </c>
      <c r="P86" t="s">
        <v>8</v>
      </c>
      <c r="Q86" t="s">
        <v>8</v>
      </c>
      <c r="R86" t="s">
        <v>8</v>
      </c>
      <c r="S86" t="s">
        <v>8</v>
      </c>
      <c r="T86" t="s">
        <v>8</v>
      </c>
      <c r="U86" t="s">
        <v>8</v>
      </c>
      <c r="V86" t="s">
        <v>8</v>
      </c>
      <c r="W86" t="s">
        <v>8</v>
      </c>
      <c r="X86" t="s">
        <v>8</v>
      </c>
      <c r="Y86" t="s">
        <v>8</v>
      </c>
      <c r="Z86" t="s">
        <v>8</v>
      </c>
      <c r="AA86" t="s">
        <v>8</v>
      </c>
      <c r="AB86">
        <v>-0.3</v>
      </c>
      <c r="AC86" t="s">
        <v>8</v>
      </c>
    </row>
    <row r="87" spans="1:29" x14ac:dyDescent="0.25">
      <c r="A87">
        <v>86</v>
      </c>
      <c r="B87" t="s">
        <v>638</v>
      </c>
      <c r="C87" t="s">
        <v>90</v>
      </c>
      <c r="D87" s="4">
        <f t="shared" si="7"/>
        <v>-0.2</v>
      </c>
      <c r="E87">
        <v>-0.2</v>
      </c>
      <c r="F87">
        <v>-0.4</v>
      </c>
      <c r="H87" s="7">
        <f t="shared" si="8"/>
        <v>0</v>
      </c>
      <c r="L87" t="s">
        <v>8</v>
      </c>
      <c r="M87" t="s">
        <v>8</v>
      </c>
      <c r="N87" t="s">
        <v>8</v>
      </c>
      <c r="O87" t="s">
        <v>8</v>
      </c>
      <c r="P87" t="s">
        <v>8</v>
      </c>
      <c r="Q87" t="s">
        <v>8</v>
      </c>
      <c r="R87">
        <v>-0.4</v>
      </c>
      <c r="S87" t="s">
        <v>8</v>
      </c>
      <c r="T87" t="s">
        <v>8</v>
      </c>
      <c r="U87" t="s">
        <v>8</v>
      </c>
      <c r="V87" t="s">
        <v>8</v>
      </c>
      <c r="W87" t="s">
        <v>8</v>
      </c>
      <c r="X87" t="s">
        <v>8</v>
      </c>
      <c r="Y87" t="s">
        <v>8</v>
      </c>
      <c r="Z87" t="s">
        <v>8</v>
      </c>
      <c r="AA87" t="s">
        <v>8</v>
      </c>
      <c r="AB87" t="s">
        <v>8</v>
      </c>
      <c r="AC87">
        <v>0</v>
      </c>
    </row>
    <row r="88" spans="1:29" x14ac:dyDescent="0.25">
      <c r="A88">
        <v>87</v>
      </c>
      <c r="B88" t="s">
        <v>445</v>
      </c>
      <c r="C88" t="s">
        <v>10</v>
      </c>
      <c r="D88" s="4">
        <f t="shared" si="7"/>
        <v>-0.2</v>
      </c>
      <c r="E88">
        <v>-0.2</v>
      </c>
      <c r="F88">
        <v>-1.3</v>
      </c>
      <c r="H88" s="7">
        <f t="shared" si="8"/>
        <v>0</v>
      </c>
      <c r="L88" t="s">
        <v>8</v>
      </c>
      <c r="M88">
        <v>-0.2</v>
      </c>
      <c r="N88">
        <v>-0.2</v>
      </c>
      <c r="O88">
        <v>-0.3</v>
      </c>
      <c r="P88" t="s">
        <v>8</v>
      </c>
      <c r="Q88">
        <v>0</v>
      </c>
      <c r="R88" t="s">
        <v>8</v>
      </c>
      <c r="S88" t="s">
        <v>8</v>
      </c>
      <c r="T88" t="s">
        <v>7</v>
      </c>
      <c r="U88" t="s">
        <v>8</v>
      </c>
      <c r="V88">
        <v>-0.2</v>
      </c>
      <c r="W88" t="s">
        <v>8</v>
      </c>
      <c r="X88" t="s">
        <v>8</v>
      </c>
      <c r="Y88" t="s">
        <v>8</v>
      </c>
      <c r="Z88">
        <v>-0.2</v>
      </c>
      <c r="AA88" t="s">
        <v>8</v>
      </c>
      <c r="AB88">
        <v>-0.2</v>
      </c>
      <c r="AC88" t="s">
        <v>8</v>
      </c>
    </row>
    <row r="89" spans="1:29" x14ac:dyDescent="0.25">
      <c r="D89" s="4" t="e">
        <f t="shared" si="7"/>
        <v>#NUM!</v>
      </c>
      <c r="H89" s="7">
        <f t="shared" si="8"/>
        <v>0</v>
      </c>
    </row>
  </sheetData>
  <sortState xmlns:xlrd2="http://schemas.microsoft.com/office/spreadsheetml/2017/richdata2" ref="A2:AF89">
    <sortCondition ref="A2:A89"/>
  </sortState>
  <conditionalFormatting sqref="L2:AC49">
    <cfRule type="cellIs" dxfId="20" priority="1" operator="lessThan">
      <formula>15.6</formula>
    </cfRule>
    <cfRule type="cellIs" dxfId="19" priority="2" operator="greaterThanOrEqual">
      <formula>15.6</formula>
    </cfRule>
  </conditionalFormatting>
  <conditionalFormatting sqref="AF37">
    <cfRule type="cellIs" dxfId="18" priority="3" operator="greaterThanOrEqual">
      <formula>11.45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B8C7-A9DF-45F2-BE09-BCA2107128FE}">
  <dimension ref="A1:AG26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2" sqref="B1:B12"/>
    </sheetView>
  </sheetViews>
  <sheetFormatPr defaultColWidth="9.140625" defaultRowHeight="15" x14ac:dyDescent="0.25"/>
  <cols>
    <col min="1" max="1" width="4" style="4" bestFit="1" customWidth="1"/>
    <col min="2" max="2" width="24.42578125" style="5" bestFit="1" customWidth="1"/>
    <col min="3" max="3" width="5.85546875" style="4" bestFit="1" customWidth="1"/>
    <col min="4" max="4" width="5.85546875" style="4" customWidth="1"/>
    <col min="5" max="5" width="5" style="4" bestFit="1" customWidth="1"/>
    <col min="6" max="6" width="6" style="4" bestFit="1" customWidth="1"/>
    <col min="7" max="7" width="10.7109375" style="3" bestFit="1" customWidth="1"/>
    <col min="8" max="8" width="10.7109375" style="3" customWidth="1"/>
    <col min="9" max="10" width="10.7109375" style="3" bestFit="1" customWidth="1"/>
    <col min="11" max="11" width="13.85546875" style="3" bestFit="1" customWidth="1"/>
    <col min="12" max="29" width="5" style="4" bestFit="1" customWidth="1"/>
    <col min="30" max="31" width="9.140625" style="3"/>
    <col min="32" max="32" width="3" style="3" bestFit="1" customWidth="1"/>
    <col min="33" max="16384" width="9.140625" style="3"/>
  </cols>
  <sheetData>
    <row r="1" spans="1:29" s="2" customFormat="1" x14ac:dyDescent="0.25">
      <c r="A1" s="1" t="s">
        <v>0</v>
      </c>
      <c r="B1" s="1" t="s">
        <v>1</v>
      </c>
      <c r="C1" s="1" t="s">
        <v>2</v>
      </c>
      <c r="D1" s="1" t="s">
        <v>462</v>
      </c>
      <c r="E1" s="1" t="s">
        <v>3</v>
      </c>
      <c r="F1" s="1" t="s">
        <v>4</v>
      </c>
      <c r="G1" s="2" t="s">
        <v>113</v>
      </c>
      <c r="H1" s="2" t="s">
        <v>825</v>
      </c>
      <c r="I1" s="2" t="s">
        <v>114</v>
      </c>
      <c r="J1" s="2" t="s">
        <v>115</v>
      </c>
      <c r="K1" s="2" t="s">
        <v>112</v>
      </c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A1" s="1">
        <v>16</v>
      </c>
      <c r="AB1" s="1">
        <v>17</v>
      </c>
      <c r="AC1" s="1">
        <v>18</v>
      </c>
    </row>
    <row r="2" spans="1:29" x14ac:dyDescent="0.25">
      <c r="A2">
        <v>3</v>
      </c>
      <c r="B2" t="s">
        <v>679</v>
      </c>
      <c r="C2" t="s">
        <v>76</v>
      </c>
      <c r="D2" s="6">
        <f t="shared" ref="D2:D17" si="0">MEDIAN(L2:AC2)</f>
        <v>18.600000000000001</v>
      </c>
      <c r="E2">
        <v>15.8</v>
      </c>
      <c r="F2">
        <v>236.6</v>
      </c>
      <c r="G2" s="3">
        <f t="shared" ref="G2:G65" si="1">COUNTIFS(L2:AC2,"&gt;=10",L2:AC2,"&lt;=99")</f>
        <v>12</v>
      </c>
      <c r="H2" s="3">
        <f t="shared" ref="H2:H65" si="2">COUNTIFS(L2:AC2,"&gt;=15",L2:AC2,"&lt;=99")</f>
        <v>9</v>
      </c>
      <c r="I2" s="3">
        <f t="shared" ref="I2:I65" si="3">COUNTIFS(L2:AC2,"&gt;=20",L2:AC2,"&lt;=99")</f>
        <v>6</v>
      </c>
      <c r="J2" s="3">
        <f t="shared" ref="J2:J65" si="4">COUNTIFS(L2:AC2,"&gt;=30",L2:AC2,"&lt;=99")</f>
        <v>0</v>
      </c>
      <c r="K2" s="3">
        <f t="shared" ref="K2:K65" si="5">COUNT(L2:AC2)</f>
        <v>15</v>
      </c>
      <c r="L2">
        <v>8</v>
      </c>
      <c r="M2">
        <v>20.6</v>
      </c>
      <c r="N2" t="s">
        <v>8</v>
      </c>
      <c r="O2">
        <v>14.5</v>
      </c>
      <c r="P2">
        <v>20.399999999999999</v>
      </c>
      <c r="Q2">
        <v>22.8</v>
      </c>
      <c r="R2">
        <v>15.2</v>
      </c>
      <c r="S2">
        <v>24.8</v>
      </c>
      <c r="T2" t="s">
        <v>7</v>
      </c>
      <c r="U2">
        <v>14.7</v>
      </c>
      <c r="V2" t="s">
        <v>8</v>
      </c>
      <c r="W2">
        <v>20.2</v>
      </c>
      <c r="X2">
        <v>1.7</v>
      </c>
      <c r="Y2">
        <v>21.1</v>
      </c>
      <c r="Z2">
        <v>10.1</v>
      </c>
      <c r="AA2">
        <v>18.600000000000001</v>
      </c>
      <c r="AB2">
        <v>19.2</v>
      </c>
      <c r="AC2">
        <v>4.7</v>
      </c>
    </row>
    <row r="3" spans="1:29" x14ac:dyDescent="0.25">
      <c r="A3">
        <v>2</v>
      </c>
      <c r="B3" t="s">
        <v>681</v>
      </c>
      <c r="C3" t="s">
        <v>28</v>
      </c>
      <c r="D3" s="6">
        <f t="shared" si="0"/>
        <v>15.8</v>
      </c>
      <c r="E3">
        <v>15.6</v>
      </c>
      <c r="F3">
        <v>249.8</v>
      </c>
      <c r="G3" s="3">
        <f t="shared" si="1"/>
        <v>13</v>
      </c>
      <c r="H3" s="3">
        <f t="shared" si="2"/>
        <v>8</v>
      </c>
      <c r="I3" s="3">
        <f t="shared" si="3"/>
        <v>4</v>
      </c>
      <c r="J3" s="3">
        <f t="shared" si="4"/>
        <v>1</v>
      </c>
      <c r="K3" s="3">
        <f t="shared" si="5"/>
        <v>16</v>
      </c>
      <c r="L3">
        <v>8</v>
      </c>
      <c r="M3">
        <v>18.7</v>
      </c>
      <c r="N3">
        <v>5.5</v>
      </c>
      <c r="O3" t="s">
        <v>8</v>
      </c>
      <c r="P3">
        <v>11.3</v>
      </c>
      <c r="Q3">
        <v>17.600000000000001</v>
      </c>
      <c r="R3">
        <v>10.1</v>
      </c>
      <c r="S3">
        <v>21.4</v>
      </c>
      <c r="T3">
        <v>12.7</v>
      </c>
      <c r="U3">
        <v>11.1</v>
      </c>
      <c r="V3" t="s">
        <v>7</v>
      </c>
      <c r="W3">
        <v>25.3</v>
      </c>
      <c r="X3">
        <v>21.6</v>
      </c>
      <c r="Y3">
        <v>14</v>
      </c>
      <c r="Z3">
        <v>17.7</v>
      </c>
      <c r="AA3">
        <v>5</v>
      </c>
      <c r="AB3">
        <v>30.3</v>
      </c>
      <c r="AC3">
        <v>19.5</v>
      </c>
    </row>
    <row r="4" spans="1:29" x14ac:dyDescent="0.25">
      <c r="A4">
        <v>1</v>
      </c>
      <c r="B4" t="s">
        <v>775</v>
      </c>
      <c r="C4" t="s">
        <v>97</v>
      </c>
      <c r="D4" s="6">
        <f t="shared" si="0"/>
        <v>15</v>
      </c>
      <c r="E4">
        <v>15.5</v>
      </c>
      <c r="F4">
        <v>262.7</v>
      </c>
      <c r="G4" s="3">
        <f t="shared" si="1"/>
        <v>12</v>
      </c>
      <c r="H4" s="3">
        <f t="shared" si="2"/>
        <v>9</v>
      </c>
      <c r="I4" s="3">
        <f t="shared" si="3"/>
        <v>4</v>
      </c>
      <c r="J4" s="3">
        <f t="shared" si="4"/>
        <v>2</v>
      </c>
      <c r="K4" s="3">
        <f t="shared" si="5"/>
        <v>17</v>
      </c>
      <c r="L4">
        <v>11.8</v>
      </c>
      <c r="M4">
        <v>18.8</v>
      </c>
      <c r="N4">
        <v>7.1</v>
      </c>
      <c r="O4">
        <v>5.0999999999999996</v>
      </c>
      <c r="P4">
        <v>23.7</v>
      </c>
      <c r="Q4">
        <v>16.100000000000001</v>
      </c>
      <c r="R4">
        <v>19.3</v>
      </c>
      <c r="S4">
        <v>10.8</v>
      </c>
      <c r="T4">
        <v>15.5</v>
      </c>
      <c r="U4" t="s">
        <v>7</v>
      </c>
      <c r="V4">
        <v>31.3</v>
      </c>
      <c r="W4">
        <v>7.8</v>
      </c>
      <c r="X4">
        <v>30.2</v>
      </c>
      <c r="Y4">
        <v>8.1999999999999993</v>
      </c>
      <c r="Z4">
        <v>6.5</v>
      </c>
      <c r="AA4">
        <v>20.9</v>
      </c>
      <c r="AB4">
        <v>14.6</v>
      </c>
      <c r="AC4">
        <v>15</v>
      </c>
    </row>
    <row r="5" spans="1:29" x14ac:dyDescent="0.25">
      <c r="A5">
        <v>11</v>
      </c>
      <c r="B5" t="s">
        <v>680</v>
      </c>
      <c r="C5" t="s">
        <v>69</v>
      </c>
      <c r="D5" s="6">
        <f t="shared" si="0"/>
        <v>14.6</v>
      </c>
      <c r="E5">
        <v>13.5</v>
      </c>
      <c r="F5">
        <v>148.5</v>
      </c>
      <c r="G5" s="3">
        <f t="shared" si="1"/>
        <v>6</v>
      </c>
      <c r="H5" s="3">
        <f t="shared" si="2"/>
        <v>5</v>
      </c>
      <c r="I5" s="3">
        <f t="shared" si="3"/>
        <v>2</v>
      </c>
      <c r="J5" s="3">
        <f t="shared" si="4"/>
        <v>0</v>
      </c>
      <c r="K5" s="3">
        <f t="shared" si="5"/>
        <v>11</v>
      </c>
      <c r="L5">
        <v>8.4</v>
      </c>
      <c r="M5" t="s">
        <v>8</v>
      </c>
      <c r="N5" t="s">
        <v>8</v>
      </c>
      <c r="O5" t="s">
        <v>8</v>
      </c>
      <c r="P5">
        <v>2.4</v>
      </c>
      <c r="Q5">
        <v>8.1</v>
      </c>
      <c r="R5">
        <v>23.6</v>
      </c>
      <c r="S5">
        <v>17.100000000000001</v>
      </c>
      <c r="T5">
        <v>7.9</v>
      </c>
      <c r="U5" t="s">
        <v>7</v>
      </c>
      <c r="V5">
        <v>19.100000000000001</v>
      </c>
      <c r="W5">
        <v>3.9</v>
      </c>
      <c r="X5">
        <v>26.2</v>
      </c>
      <c r="Y5">
        <v>17.2</v>
      </c>
      <c r="Z5" t="s">
        <v>8</v>
      </c>
      <c r="AA5">
        <v>14.6</v>
      </c>
      <c r="AB5" t="s">
        <v>8</v>
      </c>
      <c r="AC5" t="s">
        <v>8</v>
      </c>
    </row>
    <row r="6" spans="1:29" x14ac:dyDescent="0.25">
      <c r="A6">
        <v>4</v>
      </c>
      <c r="B6" t="s">
        <v>691</v>
      </c>
      <c r="C6" t="s">
        <v>78</v>
      </c>
      <c r="D6" s="6">
        <f t="shared" si="0"/>
        <v>11.6</v>
      </c>
      <c r="E6">
        <v>13.1</v>
      </c>
      <c r="F6">
        <v>222.3</v>
      </c>
      <c r="G6" s="3">
        <f t="shared" si="1"/>
        <v>11</v>
      </c>
      <c r="H6" s="3">
        <f t="shared" si="2"/>
        <v>6</v>
      </c>
      <c r="I6" s="3">
        <f t="shared" si="3"/>
        <v>4</v>
      </c>
      <c r="J6" s="3">
        <f t="shared" si="4"/>
        <v>0</v>
      </c>
      <c r="K6" s="3">
        <f t="shared" si="5"/>
        <v>17</v>
      </c>
      <c r="L6">
        <v>1.7</v>
      </c>
      <c r="M6">
        <v>11.3</v>
      </c>
      <c r="N6">
        <v>3.8</v>
      </c>
      <c r="O6">
        <v>0</v>
      </c>
      <c r="P6">
        <v>11.1</v>
      </c>
      <c r="Q6" t="s">
        <v>8</v>
      </c>
      <c r="R6">
        <v>22.6</v>
      </c>
      <c r="S6">
        <v>6</v>
      </c>
      <c r="T6">
        <v>9.6</v>
      </c>
      <c r="U6">
        <v>7.5</v>
      </c>
      <c r="V6">
        <v>28.1</v>
      </c>
      <c r="W6">
        <v>23.7</v>
      </c>
      <c r="X6">
        <v>21.3</v>
      </c>
      <c r="Y6">
        <v>13.4</v>
      </c>
      <c r="Z6">
        <v>19.8</v>
      </c>
      <c r="AA6">
        <v>12.2</v>
      </c>
      <c r="AB6">
        <v>11.6</v>
      </c>
      <c r="AC6">
        <v>18.600000000000001</v>
      </c>
    </row>
    <row r="7" spans="1:29" x14ac:dyDescent="0.25">
      <c r="A7">
        <v>28</v>
      </c>
      <c r="B7" t="s">
        <v>686</v>
      </c>
      <c r="C7" t="s">
        <v>26</v>
      </c>
      <c r="D7" s="6">
        <f t="shared" si="0"/>
        <v>8.35</v>
      </c>
      <c r="E7">
        <v>12.9</v>
      </c>
      <c r="F7">
        <v>103.3</v>
      </c>
      <c r="G7" s="3">
        <f t="shared" si="1"/>
        <v>3</v>
      </c>
      <c r="H7" s="3">
        <f t="shared" si="2"/>
        <v>2</v>
      </c>
      <c r="I7" s="3">
        <f t="shared" si="3"/>
        <v>1</v>
      </c>
      <c r="J7" s="3">
        <f t="shared" si="4"/>
        <v>1</v>
      </c>
      <c r="K7" s="3">
        <f t="shared" si="5"/>
        <v>8</v>
      </c>
      <c r="L7">
        <v>4.5999999999999996</v>
      </c>
      <c r="M7">
        <v>2.9</v>
      </c>
      <c r="N7" t="s">
        <v>8</v>
      </c>
      <c r="O7">
        <v>14.4</v>
      </c>
      <c r="P7" t="s">
        <v>8</v>
      </c>
      <c r="Q7" t="s">
        <v>8</v>
      </c>
      <c r="R7" t="s">
        <v>8</v>
      </c>
      <c r="S7">
        <v>6.2</v>
      </c>
      <c r="T7">
        <v>16</v>
      </c>
      <c r="U7">
        <v>7</v>
      </c>
      <c r="V7">
        <v>42.5</v>
      </c>
      <c r="W7" t="s">
        <v>7</v>
      </c>
      <c r="X7">
        <v>9.6999999999999993</v>
      </c>
      <c r="Y7" t="s">
        <v>8</v>
      </c>
      <c r="Z7" t="s">
        <v>8</v>
      </c>
      <c r="AA7" t="s">
        <v>8</v>
      </c>
      <c r="AB7" t="s">
        <v>8</v>
      </c>
      <c r="AC7" t="s">
        <v>8</v>
      </c>
    </row>
    <row r="8" spans="1:29" x14ac:dyDescent="0.25">
      <c r="A8">
        <v>5</v>
      </c>
      <c r="B8" t="s">
        <v>677</v>
      </c>
      <c r="C8" t="s">
        <v>62</v>
      </c>
      <c r="D8" s="6">
        <f t="shared" si="0"/>
        <v>10.85</v>
      </c>
      <c r="E8">
        <v>12.2</v>
      </c>
      <c r="F8">
        <v>195.4</v>
      </c>
      <c r="G8" s="3">
        <f t="shared" si="1"/>
        <v>8</v>
      </c>
      <c r="H8" s="3">
        <f t="shared" si="2"/>
        <v>6</v>
      </c>
      <c r="I8" s="3">
        <f t="shared" si="3"/>
        <v>4</v>
      </c>
      <c r="J8" s="3">
        <f t="shared" si="4"/>
        <v>0</v>
      </c>
      <c r="K8" s="3">
        <f t="shared" si="5"/>
        <v>16</v>
      </c>
      <c r="L8">
        <v>6.4</v>
      </c>
      <c r="M8">
        <v>1.6</v>
      </c>
      <c r="N8">
        <v>7</v>
      </c>
      <c r="O8">
        <v>15.9</v>
      </c>
      <c r="P8">
        <v>16</v>
      </c>
      <c r="Q8" t="s">
        <v>7</v>
      </c>
      <c r="R8">
        <v>5.7</v>
      </c>
      <c r="S8">
        <v>25</v>
      </c>
      <c r="T8">
        <v>22</v>
      </c>
      <c r="U8">
        <v>20.399999999999999</v>
      </c>
      <c r="V8">
        <v>2.8</v>
      </c>
      <c r="W8">
        <v>12.2</v>
      </c>
      <c r="X8">
        <v>13.8</v>
      </c>
      <c r="Y8">
        <v>9.5</v>
      </c>
      <c r="Z8">
        <v>6.7</v>
      </c>
      <c r="AA8">
        <v>8</v>
      </c>
      <c r="AB8">
        <v>22.4</v>
      </c>
      <c r="AC8" t="s">
        <v>8</v>
      </c>
    </row>
    <row r="9" spans="1:29" x14ac:dyDescent="0.25">
      <c r="A9">
        <v>6</v>
      </c>
      <c r="B9" t="s">
        <v>689</v>
      </c>
      <c r="C9" t="s">
        <v>12</v>
      </c>
      <c r="D9" s="6">
        <f t="shared" si="0"/>
        <v>13.8</v>
      </c>
      <c r="E9">
        <v>11.1</v>
      </c>
      <c r="F9">
        <v>188.8</v>
      </c>
      <c r="G9" s="3">
        <f t="shared" si="1"/>
        <v>10</v>
      </c>
      <c r="H9" s="3">
        <f t="shared" si="2"/>
        <v>6</v>
      </c>
      <c r="I9" s="3">
        <f t="shared" si="3"/>
        <v>1</v>
      </c>
      <c r="J9" s="3">
        <f t="shared" si="4"/>
        <v>0</v>
      </c>
      <c r="K9" s="3">
        <f t="shared" si="5"/>
        <v>17</v>
      </c>
      <c r="L9">
        <v>3.4</v>
      </c>
      <c r="M9">
        <v>9.1</v>
      </c>
      <c r="N9">
        <v>0</v>
      </c>
      <c r="O9">
        <v>0</v>
      </c>
      <c r="P9">
        <v>9.5</v>
      </c>
      <c r="Q9">
        <v>15.6</v>
      </c>
      <c r="R9">
        <v>20.100000000000001</v>
      </c>
      <c r="S9">
        <v>14.6</v>
      </c>
      <c r="T9">
        <v>4.5999999999999996</v>
      </c>
      <c r="U9">
        <v>18.8</v>
      </c>
      <c r="V9">
        <v>4.2</v>
      </c>
      <c r="W9">
        <v>15.6</v>
      </c>
      <c r="X9">
        <v>18.899999999999999</v>
      </c>
      <c r="Y9" t="s">
        <v>7</v>
      </c>
      <c r="Z9">
        <v>10.4</v>
      </c>
      <c r="AA9">
        <v>13.8</v>
      </c>
      <c r="AB9">
        <v>14.8</v>
      </c>
      <c r="AC9">
        <v>15.4</v>
      </c>
    </row>
    <row r="10" spans="1:29" x14ac:dyDescent="0.25">
      <c r="A10">
        <v>8</v>
      </c>
      <c r="B10" t="s">
        <v>675</v>
      </c>
      <c r="C10" t="s">
        <v>10</v>
      </c>
      <c r="D10" s="6">
        <f t="shared" si="0"/>
        <v>11.3</v>
      </c>
      <c r="E10">
        <v>10.9</v>
      </c>
      <c r="F10">
        <v>174.6</v>
      </c>
      <c r="G10" s="3">
        <f t="shared" si="1"/>
        <v>9</v>
      </c>
      <c r="H10" s="3">
        <f t="shared" si="2"/>
        <v>5</v>
      </c>
      <c r="I10" s="3">
        <f t="shared" si="3"/>
        <v>0</v>
      </c>
      <c r="J10" s="3">
        <f t="shared" si="4"/>
        <v>0</v>
      </c>
      <c r="K10" s="3">
        <f t="shared" si="5"/>
        <v>16</v>
      </c>
      <c r="L10">
        <v>8.5</v>
      </c>
      <c r="M10">
        <v>3.3</v>
      </c>
      <c r="N10">
        <v>5.6</v>
      </c>
      <c r="O10">
        <v>9.3000000000000007</v>
      </c>
      <c r="P10" t="s">
        <v>7</v>
      </c>
      <c r="Q10">
        <v>12.2</v>
      </c>
      <c r="R10">
        <v>3.5</v>
      </c>
      <c r="S10">
        <v>16.8</v>
      </c>
      <c r="T10">
        <v>4.8</v>
      </c>
      <c r="U10">
        <v>15.6</v>
      </c>
      <c r="V10" t="s">
        <v>8</v>
      </c>
      <c r="W10">
        <v>4.9000000000000004</v>
      </c>
      <c r="X10">
        <v>15.6</v>
      </c>
      <c r="Y10">
        <v>10.4</v>
      </c>
      <c r="Z10">
        <v>18.100000000000001</v>
      </c>
      <c r="AA10">
        <v>14.3</v>
      </c>
      <c r="AB10">
        <v>18.399999999999999</v>
      </c>
      <c r="AC10">
        <v>13.3</v>
      </c>
    </row>
    <row r="11" spans="1:29" x14ac:dyDescent="0.25">
      <c r="A11">
        <v>7</v>
      </c>
      <c r="B11" t="s">
        <v>717</v>
      </c>
      <c r="C11" t="s">
        <v>60</v>
      </c>
      <c r="D11" s="6">
        <f t="shared" si="0"/>
        <v>10.199999999999999</v>
      </c>
      <c r="E11">
        <v>10.4</v>
      </c>
      <c r="F11">
        <v>177.4</v>
      </c>
      <c r="G11" s="3">
        <f t="shared" si="1"/>
        <v>9</v>
      </c>
      <c r="H11" s="3">
        <f t="shared" si="2"/>
        <v>4</v>
      </c>
      <c r="I11" s="3">
        <f t="shared" si="3"/>
        <v>1</v>
      </c>
      <c r="J11" s="3">
        <f t="shared" si="4"/>
        <v>0</v>
      </c>
      <c r="K11" s="3">
        <f t="shared" si="5"/>
        <v>17</v>
      </c>
      <c r="L11">
        <v>5.8</v>
      </c>
      <c r="M11">
        <v>10.199999999999999</v>
      </c>
      <c r="N11">
        <v>8.8000000000000007</v>
      </c>
      <c r="O11">
        <v>7.2</v>
      </c>
      <c r="P11">
        <v>3</v>
      </c>
      <c r="Q11">
        <v>10.8</v>
      </c>
      <c r="R11">
        <v>14</v>
      </c>
      <c r="S11">
        <v>14.7</v>
      </c>
      <c r="T11">
        <v>1.5</v>
      </c>
      <c r="U11">
        <v>7.1</v>
      </c>
      <c r="V11">
        <v>18.7</v>
      </c>
      <c r="W11">
        <v>15.8</v>
      </c>
      <c r="X11">
        <v>12.5</v>
      </c>
      <c r="Y11" t="s">
        <v>7</v>
      </c>
      <c r="Z11">
        <v>4.5</v>
      </c>
      <c r="AA11">
        <v>2.2000000000000002</v>
      </c>
      <c r="AB11">
        <v>25.2</v>
      </c>
      <c r="AC11">
        <v>15.4</v>
      </c>
    </row>
    <row r="12" spans="1:29" x14ac:dyDescent="0.25">
      <c r="A12">
        <v>27</v>
      </c>
      <c r="B12" t="s">
        <v>688</v>
      </c>
      <c r="C12" t="s">
        <v>6</v>
      </c>
      <c r="D12" s="6">
        <f t="shared" si="0"/>
        <v>10</v>
      </c>
      <c r="E12">
        <v>10.4</v>
      </c>
      <c r="F12">
        <v>103.6</v>
      </c>
      <c r="G12" s="3">
        <f t="shared" si="1"/>
        <v>5</v>
      </c>
      <c r="H12" s="3">
        <f t="shared" si="2"/>
        <v>1</v>
      </c>
      <c r="I12" s="3">
        <f t="shared" si="3"/>
        <v>1</v>
      </c>
      <c r="J12" s="3">
        <f t="shared" si="4"/>
        <v>0</v>
      </c>
      <c r="K12" s="3">
        <f t="shared" si="5"/>
        <v>10</v>
      </c>
      <c r="L12">
        <v>7.1</v>
      </c>
      <c r="M12">
        <v>6.8</v>
      </c>
      <c r="N12">
        <v>27</v>
      </c>
      <c r="O12">
        <v>13.2</v>
      </c>
      <c r="P12" t="s">
        <v>7</v>
      </c>
      <c r="Q12">
        <v>0</v>
      </c>
      <c r="R12" t="s">
        <v>8</v>
      </c>
      <c r="S12" t="s">
        <v>8</v>
      </c>
      <c r="T12" t="s">
        <v>8</v>
      </c>
      <c r="U12">
        <v>10.5</v>
      </c>
      <c r="V12">
        <v>11.1</v>
      </c>
      <c r="W12">
        <v>5.9</v>
      </c>
      <c r="X12">
        <v>12.5</v>
      </c>
      <c r="Y12" t="s">
        <v>8</v>
      </c>
      <c r="Z12" t="s">
        <v>8</v>
      </c>
      <c r="AA12" t="s">
        <v>8</v>
      </c>
      <c r="AB12" t="s">
        <v>8</v>
      </c>
      <c r="AC12">
        <v>9.5</v>
      </c>
    </row>
    <row r="13" spans="1:29" x14ac:dyDescent="0.25">
      <c r="A13">
        <v>14</v>
      </c>
      <c r="B13" t="s">
        <v>694</v>
      </c>
      <c r="C13" t="s">
        <v>34</v>
      </c>
      <c r="D13" s="6">
        <f t="shared" si="0"/>
        <v>9</v>
      </c>
      <c r="E13">
        <v>10</v>
      </c>
      <c r="F13">
        <v>140.6</v>
      </c>
      <c r="G13" s="3">
        <f t="shared" si="1"/>
        <v>5</v>
      </c>
      <c r="H13" s="3">
        <f t="shared" si="2"/>
        <v>3</v>
      </c>
      <c r="I13" s="3">
        <f t="shared" si="3"/>
        <v>2</v>
      </c>
      <c r="J13" s="3">
        <f t="shared" si="4"/>
        <v>0</v>
      </c>
      <c r="K13" s="3">
        <f t="shared" si="5"/>
        <v>14</v>
      </c>
      <c r="L13">
        <v>1.5</v>
      </c>
      <c r="M13">
        <v>-0.4</v>
      </c>
      <c r="N13">
        <v>9.6999999999999993</v>
      </c>
      <c r="O13">
        <v>11.2</v>
      </c>
      <c r="P13">
        <v>7.4</v>
      </c>
      <c r="Q13">
        <v>9.5</v>
      </c>
      <c r="R13">
        <v>18</v>
      </c>
      <c r="S13">
        <v>29.1</v>
      </c>
      <c r="T13">
        <v>21.7</v>
      </c>
      <c r="U13">
        <v>8.5</v>
      </c>
      <c r="V13" t="s">
        <v>7</v>
      </c>
      <c r="W13">
        <v>4</v>
      </c>
      <c r="X13">
        <v>6</v>
      </c>
      <c r="Y13">
        <v>10</v>
      </c>
      <c r="Z13">
        <v>4.4000000000000004</v>
      </c>
      <c r="AA13" t="s">
        <v>8</v>
      </c>
      <c r="AB13" t="s">
        <v>8</v>
      </c>
      <c r="AC13" t="s">
        <v>8</v>
      </c>
    </row>
    <row r="14" spans="1:29" x14ac:dyDescent="0.25">
      <c r="A14">
        <v>33</v>
      </c>
      <c r="B14" t="s">
        <v>676</v>
      </c>
      <c r="C14" t="s">
        <v>50</v>
      </c>
      <c r="D14" s="6">
        <f t="shared" si="0"/>
        <v>10</v>
      </c>
      <c r="E14">
        <v>9.9</v>
      </c>
      <c r="F14">
        <v>89.5</v>
      </c>
      <c r="G14" s="3">
        <f t="shared" si="1"/>
        <v>5</v>
      </c>
      <c r="H14" s="3">
        <f t="shared" si="2"/>
        <v>1</v>
      </c>
      <c r="I14" s="3">
        <f t="shared" si="3"/>
        <v>0</v>
      </c>
      <c r="J14" s="3">
        <f t="shared" si="4"/>
        <v>0</v>
      </c>
      <c r="K14" s="3">
        <f t="shared" si="5"/>
        <v>9</v>
      </c>
      <c r="L14">
        <v>1.5</v>
      </c>
      <c r="M14" t="s">
        <v>8</v>
      </c>
      <c r="N14" t="s">
        <v>8</v>
      </c>
      <c r="O14" t="s">
        <v>8</v>
      </c>
      <c r="P14" t="s">
        <v>8</v>
      </c>
      <c r="Q14">
        <v>18.2</v>
      </c>
      <c r="R14">
        <v>8.5</v>
      </c>
      <c r="S14">
        <v>13.6</v>
      </c>
      <c r="T14">
        <v>11.5</v>
      </c>
      <c r="U14">
        <v>10</v>
      </c>
      <c r="V14">
        <v>7.8</v>
      </c>
      <c r="W14" t="s">
        <v>8</v>
      </c>
      <c r="X14">
        <v>11.1</v>
      </c>
      <c r="Y14">
        <v>7.3</v>
      </c>
      <c r="Z14" t="s">
        <v>8</v>
      </c>
      <c r="AA14" t="s">
        <v>8</v>
      </c>
      <c r="AB14" t="s">
        <v>8</v>
      </c>
      <c r="AC14" t="s">
        <v>8</v>
      </c>
    </row>
    <row r="15" spans="1:29" x14ac:dyDescent="0.25">
      <c r="A15">
        <v>9</v>
      </c>
      <c r="B15" t="s">
        <v>704</v>
      </c>
      <c r="C15" t="s">
        <v>78</v>
      </c>
      <c r="D15" s="6">
        <f t="shared" si="0"/>
        <v>9.1999999999999993</v>
      </c>
      <c r="E15">
        <v>9.9</v>
      </c>
      <c r="F15">
        <v>168.3</v>
      </c>
      <c r="G15" s="3">
        <f t="shared" si="1"/>
        <v>7</v>
      </c>
      <c r="H15" s="3">
        <f t="shared" si="2"/>
        <v>3</v>
      </c>
      <c r="I15" s="3">
        <f t="shared" si="3"/>
        <v>1</v>
      </c>
      <c r="J15" s="3">
        <f t="shared" si="4"/>
        <v>0</v>
      </c>
      <c r="K15" s="3">
        <f t="shared" si="5"/>
        <v>17</v>
      </c>
      <c r="L15">
        <v>6.7</v>
      </c>
      <c r="M15">
        <v>7.9</v>
      </c>
      <c r="N15">
        <v>7.3</v>
      </c>
      <c r="O15">
        <v>16.7</v>
      </c>
      <c r="P15">
        <v>9.1999999999999993</v>
      </c>
      <c r="Q15">
        <v>3.6</v>
      </c>
      <c r="R15">
        <v>7.1</v>
      </c>
      <c r="S15">
        <v>3.9</v>
      </c>
      <c r="T15" t="s">
        <v>7</v>
      </c>
      <c r="U15">
        <v>10.7</v>
      </c>
      <c r="V15">
        <v>3.4</v>
      </c>
      <c r="W15">
        <v>9.9</v>
      </c>
      <c r="X15">
        <v>18.8</v>
      </c>
      <c r="Y15">
        <v>13.8</v>
      </c>
      <c r="Z15">
        <v>11.2</v>
      </c>
      <c r="AA15">
        <v>4.5999999999999996</v>
      </c>
      <c r="AB15">
        <v>11</v>
      </c>
      <c r="AC15">
        <v>22.5</v>
      </c>
    </row>
    <row r="16" spans="1:29" x14ac:dyDescent="0.25">
      <c r="A16">
        <v>10</v>
      </c>
      <c r="B16" t="s">
        <v>703</v>
      </c>
      <c r="C16" t="s">
        <v>16</v>
      </c>
      <c r="D16" s="6">
        <f t="shared" si="0"/>
        <v>7.6</v>
      </c>
      <c r="E16">
        <v>9.6</v>
      </c>
      <c r="F16">
        <v>163.30000000000001</v>
      </c>
      <c r="G16" s="3">
        <f t="shared" si="1"/>
        <v>7</v>
      </c>
      <c r="H16" s="3">
        <f t="shared" si="2"/>
        <v>3</v>
      </c>
      <c r="I16" s="3">
        <f t="shared" si="3"/>
        <v>1</v>
      </c>
      <c r="J16" s="3">
        <f t="shared" si="4"/>
        <v>0</v>
      </c>
      <c r="K16" s="3">
        <f t="shared" si="5"/>
        <v>17</v>
      </c>
      <c r="L16">
        <v>5.7</v>
      </c>
      <c r="M16">
        <v>3.6</v>
      </c>
      <c r="N16">
        <v>4.4000000000000004</v>
      </c>
      <c r="O16">
        <v>17.3</v>
      </c>
      <c r="P16">
        <v>24.8</v>
      </c>
      <c r="Q16">
        <v>3.5</v>
      </c>
      <c r="R16">
        <v>12.3</v>
      </c>
      <c r="S16">
        <v>16.8</v>
      </c>
      <c r="T16">
        <v>7.6</v>
      </c>
      <c r="U16" t="s">
        <v>7</v>
      </c>
      <c r="V16">
        <v>0</v>
      </c>
      <c r="W16">
        <v>10.6</v>
      </c>
      <c r="X16">
        <v>13.8</v>
      </c>
      <c r="Y16">
        <v>13.1</v>
      </c>
      <c r="Z16">
        <v>5.4</v>
      </c>
      <c r="AA16">
        <v>9.5</v>
      </c>
      <c r="AB16">
        <v>7.3</v>
      </c>
      <c r="AC16">
        <v>7.6</v>
      </c>
    </row>
    <row r="17" spans="1:33" x14ac:dyDescent="0.25">
      <c r="A17">
        <v>12</v>
      </c>
      <c r="B17" t="s">
        <v>693</v>
      </c>
      <c r="C17" t="s">
        <v>57</v>
      </c>
      <c r="D17" s="6">
        <f t="shared" si="0"/>
        <v>9.4499999999999993</v>
      </c>
      <c r="E17">
        <v>9.1</v>
      </c>
      <c r="F17">
        <v>145.4</v>
      </c>
      <c r="G17" s="3">
        <f t="shared" si="1"/>
        <v>7</v>
      </c>
      <c r="H17" s="3">
        <f t="shared" si="2"/>
        <v>2</v>
      </c>
      <c r="I17" s="3">
        <f t="shared" si="3"/>
        <v>0</v>
      </c>
      <c r="J17" s="3">
        <f t="shared" si="4"/>
        <v>0</v>
      </c>
      <c r="K17" s="3">
        <f t="shared" si="5"/>
        <v>16</v>
      </c>
      <c r="L17">
        <v>3.8</v>
      </c>
      <c r="M17">
        <v>18.899999999999999</v>
      </c>
      <c r="N17">
        <v>2.9</v>
      </c>
      <c r="O17">
        <v>3.2</v>
      </c>
      <c r="P17">
        <v>5.2</v>
      </c>
      <c r="Q17">
        <v>13.1</v>
      </c>
      <c r="R17">
        <v>17.2</v>
      </c>
      <c r="S17">
        <v>9.5</v>
      </c>
      <c r="T17">
        <v>12.6</v>
      </c>
      <c r="U17">
        <v>2.4</v>
      </c>
      <c r="V17">
        <v>12.3</v>
      </c>
      <c r="W17">
        <v>9.4</v>
      </c>
      <c r="X17">
        <v>14.5</v>
      </c>
      <c r="Y17" t="s">
        <v>7</v>
      </c>
      <c r="Z17">
        <v>6.5</v>
      </c>
      <c r="AA17">
        <v>13.9</v>
      </c>
      <c r="AB17">
        <v>0</v>
      </c>
      <c r="AC17" t="s">
        <v>8</v>
      </c>
    </row>
    <row r="18" spans="1:33" x14ac:dyDescent="0.25">
      <c r="A18">
        <v>65</v>
      </c>
      <c r="B18" t="s">
        <v>698</v>
      </c>
      <c r="C18" t="s">
        <v>20</v>
      </c>
      <c r="E18">
        <v>8.9</v>
      </c>
      <c r="F18">
        <v>26.6</v>
      </c>
      <c r="G18" s="3">
        <f t="shared" si="1"/>
        <v>1</v>
      </c>
      <c r="H18" s="3">
        <f t="shared" si="2"/>
        <v>1</v>
      </c>
      <c r="I18" s="3">
        <f t="shared" si="3"/>
        <v>0</v>
      </c>
      <c r="J18" s="3">
        <f t="shared" si="4"/>
        <v>0</v>
      </c>
      <c r="K18" s="3">
        <f t="shared" si="5"/>
        <v>3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7</v>
      </c>
      <c r="R18" t="s">
        <v>8</v>
      </c>
      <c r="S18" t="s">
        <v>8</v>
      </c>
      <c r="T18" t="s">
        <v>8</v>
      </c>
      <c r="U18" t="s">
        <v>8</v>
      </c>
      <c r="V18" t="s">
        <v>8</v>
      </c>
      <c r="W18" t="s">
        <v>8</v>
      </c>
      <c r="X18" t="s">
        <v>8</v>
      </c>
      <c r="Y18" t="s">
        <v>8</v>
      </c>
      <c r="Z18" t="s">
        <v>8</v>
      </c>
      <c r="AA18">
        <v>8.1</v>
      </c>
      <c r="AB18">
        <v>2.9</v>
      </c>
      <c r="AC18">
        <v>15.6</v>
      </c>
    </row>
    <row r="19" spans="1:33" x14ac:dyDescent="0.25">
      <c r="A19">
        <v>34</v>
      </c>
      <c r="B19" t="s">
        <v>678</v>
      </c>
      <c r="C19" t="s">
        <v>38</v>
      </c>
      <c r="D19" s="6">
        <f t="shared" ref="D19:D41" si="6">MEDIAN(L19:AC19)</f>
        <v>7.15</v>
      </c>
      <c r="E19">
        <v>8.6999999999999993</v>
      </c>
      <c r="F19">
        <v>86.5</v>
      </c>
      <c r="G19" s="3">
        <f t="shared" si="1"/>
        <v>4</v>
      </c>
      <c r="H19" s="3">
        <f t="shared" si="2"/>
        <v>2</v>
      </c>
      <c r="I19" s="3">
        <f t="shared" si="3"/>
        <v>0</v>
      </c>
      <c r="J19" s="3">
        <f t="shared" si="4"/>
        <v>0</v>
      </c>
      <c r="K19" s="3">
        <f t="shared" si="5"/>
        <v>10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7</v>
      </c>
      <c r="R19" t="s">
        <v>8</v>
      </c>
      <c r="S19" t="s">
        <v>8</v>
      </c>
      <c r="T19">
        <v>5.7</v>
      </c>
      <c r="U19">
        <v>15.2</v>
      </c>
      <c r="V19">
        <v>3.3</v>
      </c>
      <c r="W19">
        <v>18.399999999999999</v>
      </c>
      <c r="X19">
        <v>5.8</v>
      </c>
      <c r="Y19">
        <v>8.5</v>
      </c>
      <c r="Z19">
        <v>10.199999999999999</v>
      </c>
      <c r="AA19">
        <v>4.7</v>
      </c>
      <c r="AB19">
        <v>11.8</v>
      </c>
      <c r="AC19">
        <v>2.9</v>
      </c>
    </row>
    <row r="20" spans="1:33" x14ac:dyDescent="0.25">
      <c r="A20">
        <v>13</v>
      </c>
      <c r="B20" t="s">
        <v>711</v>
      </c>
      <c r="C20" t="s">
        <v>30</v>
      </c>
      <c r="D20" s="6">
        <f t="shared" si="6"/>
        <v>6.7</v>
      </c>
      <c r="E20">
        <v>8.3000000000000007</v>
      </c>
      <c r="F20">
        <v>141.5</v>
      </c>
      <c r="G20" s="3">
        <f t="shared" si="1"/>
        <v>6</v>
      </c>
      <c r="H20" s="3">
        <f t="shared" si="2"/>
        <v>3</v>
      </c>
      <c r="I20" s="3">
        <f t="shared" si="3"/>
        <v>1</v>
      </c>
      <c r="J20" s="3">
        <f t="shared" si="4"/>
        <v>0</v>
      </c>
      <c r="K20" s="3">
        <f t="shared" si="5"/>
        <v>17</v>
      </c>
      <c r="L20">
        <v>4.8</v>
      </c>
      <c r="M20">
        <v>16.100000000000001</v>
      </c>
      <c r="N20">
        <v>8.6999999999999993</v>
      </c>
      <c r="O20">
        <v>0.1</v>
      </c>
      <c r="P20">
        <v>5.0999999999999996</v>
      </c>
      <c r="Q20">
        <v>0</v>
      </c>
      <c r="R20">
        <v>1.2</v>
      </c>
      <c r="S20">
        <v>12.3</v>
      </c>
      <c r="T20">
        <v>27</v>
      </c>
      <c r="U20">
        <v>7</v>
      </c>
      <c r="V20">
        <v>0</v>
      </c>
      <c r="W20" t="s">
        <v>7</v>
      </c>
      <c r="X20">
        <v>10.3</v>
      </c>
      <c r="Y20">
        <v>5.4</v>
      </c>
      <c r="Z20">
        <v>6.7</v>
      </c>
      <c r="AA20">
        <v>3.4</v>
      </c>
      <c r="AB20">
        <v>18.600000000000001</v>
      </c>
      <c r="AC20">
        <v>14.8</v>
      </c>
    </row>
    <row r="21" spans="1:33" x14ac:dyDescent="0.25">
      <c r="A21">
        <v>30</v>
      </c>
      <c r="B21" t="s">
        <v>685</v>
      </c>
      <c r="C21" t="s">
        <v>22</v>
      </c>
      <c r="D21" s="6">
        <f t="shared" si="6"/>
        <v>7.3</v>
      </c>
      <c r="E21">
        <v>7.8</v>
      </c>
      <c r="F21">
        <v>100.8</v>
      </c>
      <c r="G21" s="3">
        <f t="shared" si="1"/>
        <v>3</v>
      </c>
      <c r="H21" s="3">
        <f t="shared" si="2"/>
        <v>0</v>
      </c>
      <c r="I21" s="3">
        <f t="shared" si="3"/>
        <v>0</v>
      </c>
      <c r="J21" s="3">
        <f t="shared" si="4"/>
        <v>0</v>
      </c>
      <c r="K21" s="3">
        <f t="shared" si="5"/>
        <v>13</v>
      </c>
      <c r="L21">
        <v>2.1</v>
      </c>
      <c r="M21">
        <v>7.3</v>
      </c>
      <c r="N21">
        <v>13.1</v>
      </c>
      <c r="O21">
        <v>9.6999999999999993</v>
      </c>
      <c r="P21">
        <v>5.4</v>
      </c>
      <c r="Q21">
        <v>11.1</v>
      </c>
      <c r="R21">
        <v>8.1999999999999993</v>
      </c>
      <c r="S21">
        <v>13.1</v>
      </c>
      <c r="T21">
        <v>7.2</v>
      </c>
      <c r="U21">
        <v>4.4000000000000004</v>
      </c>
      <c r="V21" t="s">
        <v>8</v>
      </c>
      <c r="W21" t="s">
        <v>7</v>
      </c>
      <c r="X21" t="s">
        <v>8</v>
      </c>
      <c r="Y21" t="s">
        <v>8</v>
      </c>
      <c r="Z21">
        <v>9.3000000000000007</v>
      </c>
      <c r="AA21">
        <v>5.5</v>
      </c>
      <c r="AB21">
        <v>4.4000000000000004</v>
      </c>
      <c r="AC21" t="s">
        <v>8</v>
      </c>
      <c r="AG21" s="3">
        <f>MEDIAN(L3:AC93)</f>
        <v>2.8</v>
      </c>
    </row>
    <row r="22" spans="1:33" x14ac:dyDescent="0.25">
      <c r="A22">
        <v>15</v>
      </c>
      <c r="B22" t="s">
        <v>687</v>
      </c>
      <c r="C22" t="s">
        <v>14</v>
      </c>
      <c r="D22" s="6">
        <f t="shared" si="6"/>
        <v>6.8</v>
      </c>
      <c r="E22">
        <v>7.7</v>
      </c>
      <c r="F22">
        <v>131.19999999999999</v>
      </c>
      <c r="G22" s="3">
        <f t="shared" si="1"/>
        <v>6</v>
      </c>
      <c r="H22" s="3">
        <f t="shared" si="2"/>
        <v>2</v>
      </c>
      <c r="I22" s="3">
        <f t="shared" si="3"/>
        <v>1</v>
      </c>
      <c r="J22" s="3">
        <f t="shared" si="4"/>
        <v>0</v>
      </c>
      <c r="K22" s="3">
        <f t="shared" si="5"/>
        <v>17</v>
      </c>
      <c r="L22">
        <v>11.6</v>
      </c>
      <c r="M22">
        <v>5</v>
      </c>
      <c r="N22">
        <v>7.9</v>
      </c>
      <c r="O22">
        <v>0</v>
      </c>
      <c r="P22">
        <v>15.8</v>
      </c>
      <c r="Q22">
        <v>10</v>
      </c>
      <c r="R22">
        <v>13.5</v>
      </c>
      <c r="S22">
        <v>25.1</v>
      </c>
      <c r="T22">
        <v>2.1</v>
      </c>
      <c r="U22">
        <v>9.5</v>
      </c>
      <c r="V22">
        <v>1.9</v>
      </c>
      <c r="W22" t="s">
        <v>7</v>
      </c>
      <c r="X22">
        <v>0</v>
      </c>
      <c r="Y22">
        <v>2.4</v>
      </c>
      <c r="Z22">
        <v>6.8</v>
      </c>
      <c r="AA22">
        <v>1.7</v>
      </c>
      <c r="AB22">
        <v>14.4</v>
      </c>
      <c r="AC22">
        <v>3.5</v>
      </c>
    </row>
    <row r="23" spans="1:33" x14ac:dyDescent="0.25">
      <c r="A23">
        <v>16</v>
      </c>
      <c r="B23" t="s">
        <v>699</v>
      </c>
      <c r="C23" t="s">
        <v>12</v>
      </c>
      <c r="D23" s="6">
        <f t="shared" si="6"/>
        <v>5.75</v>
      </c>
      <c r="E23">
        <v>7.7</v>
      </c>
      <c r="F23">
        <v>123.7</v>
      </c>
      <c r="G23" s="3">
        <f t="shared" si="1"/>
        <v>4</v>
      </c>
      <c r="H23" s="3">
        <f t="shared" si="2"/>
        <v>2</v>
      </c>
      <c r="I23" s="3">
        <f t="shared" si="3"/>
        <v>1</v>
      </c>
      <c r="J23" s="3">
        <f t="shared" si="4"/>
        <v>0</v>
      </c>
      <c r="K23" s="3">
        <f t="shared" si="5"/>
        <v>16</v>
      </c>
      <c r="L23">
        <v>26.1</v>
      </c>
      <c r="M23">
        <v>4.5999999999999996</v>
      </c>
      <c r="N23">
        <v>1.4</v>
      </c>
      <c r="O23">
        <v>3.6</v>
      </c>
      <c r="P23">
        <v>16.3</v>
      </c>
      <c r="Q23">
        <v>4.7</v>
      </c>
      <c r="R23">
        <v>3.7</v>
      </c>
      <c r="S23">
        <v>8.6999999999999993</v>
      </c>
      <c r="T23">
        <v>0</v>
      </c>
      <c r="U23" t="s">
        <v>8</v>
      </c>
      <c r="V23">
        <v>9.5</v>
      </c>
      <c r="W23">
        <v>0</v>
      </c>
      <c r="X23">
        <v>14.8</v>
      </c>
      <c r="Y23" t="s">
        <v>7</v>
      </c>
      <c r="Z23">
        <v>3.7</v>
      </c>
      <c r="AA23">
        <v>11.9</v>
      </c>
      <c r="AB23">
        <v>7.9</v>
      </c>
      <c r="AC23">
        <v>6.8</v>
      </c>
    </row>
    <row r="24" spans="1:33" x14ac:dyDescent="0.25">
      <c r="A24">
        <v>18</v>
      </c>
      <c r="B24" t="s">
        <v>692</v>
      </c>
      <c r="C24" t="s">
        <v>45</v>
      </c>
      <c r="D24" s="6">
        <f t="shared" si="6"/>
        <v>6.75</v>
      </c>
      <c r="E24">
        <v>7.6</v>
      </c>
      <c r="F24">
        <v>121.9</v>
      </c>
      <c r="G24" s="3">
        <f t="shared" si="1"/>
        <v>6</v>
      </c>
      <c r="H24" s="3">
        <f t="shared" si="2"/>
        <v>1</v>
      </c>
      <c r="I24" s="3">
        <f t="shared" si="3"/>
        <v>1</v>
      </c>
      <c r="J24" s="3">
        <f t="shared" si="4"/>
        <v>0</v>
      </c>
      <c r="K24" s="3">
        <f t="shared" si="5"/>
        <v>16</v>
      </c>
      <c r="L24">
        <v>1.6</v>
      </c>
      <c r="M24">
        <v>2</v>
      </c>
      <c r="N24">
        <v>14.3</v>
      </c>
      <c r="O24">
        <v>5.7</v>
      </c>
      <c r="P24">
        <v>11.5</v>
      </c>
      <c r="Q24">
        <v>3</v>
      </c>
      <c r="R24">
        <v>10.7</v>
      </c>
      <c r="S24">
        <v>13.2</v>
      </c>
      <c r="T24">
        <v>0.7</v>
      </c>
      <c r="U24">
        <v>1.8</v>
      </c>
      <c r="V24">
        <v>1.7</v>
      </c>
      <c r="W24" t="s">
        <v>8</v>
      </c>
      <c r="X24">
        <v>7.2</v>
      </c>
      <c r="Y24">
        <v>6.3</v>
      </c>
      <c r="Z24" t="s">
        <v>8</v>
      </c>
      <c r="AA24">
        <v>10.9</v>
      </c>
      <c r="AB24">
        <v>21.7</v>
      </c>
      <c r="AC24">
        <v>9.6</v>
      </c>
    </row>
    <row r="25" spans="1:33" x14ac:dyDescent="0.25">
      <c r="A25">
        <v>25</v>
      </c>
      <c r="B25" t="s">
        <v>683</v>
      </c>
      <c r="C25" t="s">
        <v>64</v>
      </c>
      <c r="D25" s="6">
        <f t="shared" si="6"/>
        <v>5.35</v>
      </c>
      <c r="E25">
        <v>7.5</v>
      </c>
      <c r="F25">
        <v>104.4</v>
      </c>
      <c r="G25" s="3">
        <f t="shared" si="1"/>
        <v>5</v>
      </c>
      <c r="H25" s="3">
        <f t="shared" si="2"/>
        <v>1</v>
      </c>
      <c r="I25" s="3">
        <f t="shared" si="3"/>
        <v>0</v>
      </c>
      <c r="J25" s="3">
        <f t="shared" si="4"/>
        <v>0</v>
      </c>
      <c r="K25" s="3">
        <f t="shared" si="5"/>
        <v>14</v>
      </c>
      <c r="L25">
        <v>4.5</v>
      </c>
      <c r="M25" t="s">
        <v>8</v>
      </c>
      <c r="N25">
        <v>15.5</v>
      </c>
      <c r="O25">
        <v>11.9</v>
      </c>
      <c r="P25">
        <v>13</v>
      </c>
      <c r="Q25">
        <v>4.0999999999999996</v>
      </c>
      <c r="R25" t="s">
        <v>7</v>
      </c>
      <c r="S25">
        <v>8.3000000000000007</v>
      </c>
      <c r="T25">
        <v>14.1</v>
      </c>
      <c r="U25">
        <v>4.4000000000000004</v>
      </c>
      <c r="V25">
        <v>2.1</v>
      </c>
      <c r="W25" t="s">
        <v>8</v>
      </c>
      <c r="X25" t="s">
        <v>8</v>
      </c>
      <c r="Y25">
        <v>6.2</v>
      </c>
      <c r="Z25">
        <v>4.3</v>
      </c>
      <c r="AA25">
        <v>10</v>
      </c>
      <c r="AB25">
        <v>2.8</v>
      </c>
      <c r="AC25">
        <v>3.2</v>
      </c>
    </row>
    <row r="26" spans="1:33" x14ac:dyDescent="0.25">
      <c r="A26">
        <v>26</v>
      </c>
      <c r="B26" t="s">
        <v>706</v>
      </c>
      <c r="C26" t="s">
        <v>30</v>
      </c>
      <c r="D26" s="6">
        <f t="shared" si="6"/>
        <v>5.5</v>
      </c>
      <c r="E26">
        <v>7.4</v>
      </c>
      <c r="F26">
        <v>104</v>
      </c>
      <c r="G26" s="3">
        <f t="shared" si="1"/>
        <v>4</v>
      </c>
      <c r="H26" s="3">
        <f t="shared" si="2"/>
        <v>1</v>
      </c>
      <c r="I26" s="3">
        <f t="shared" si="3"/>
        <v>0</v>
      </c>
      <c r="J26" s="3">
        <f t="shared" si="4"/>
        <v>0</v>
      </c>
      <c r="K26" s="3">
        <f t="shared" si="5"/>
        <v>14</v>
      </c>
      <c r="L26">
        <v>3.1</v>
      </c>
      <c r="M26">
        <v>2.4</v>
      </c>
      <c r="N26">
        <v>12</v>
      </c>
      <c r="O26">
        <v>4.5999999999999996</v>
      </c>
      <c r="P26">
        <v>5.4</v>
      </c>
      <c r="Q26">
        <v>12.3</v>
      </c>
      <c r="R26">
        <v>10.5</v>
      </c>
      <c r="S26">
        <v>5.2</v>
      </c>
      <c r="T26" t="s">
        <v>8</v>
      </c>
      <c r="U26" t="s">
        <v>8</v>
      </c>
      <c r="V26" t="s">
        <v>8</v>
      </c>
      <c r="W26" t="s">
        <v>7</v>
      </c>
      <c r="X26">
        <v>5.6</v>
      </c>
      <c r="Y26">
        <v>4.8</v>
      </c>
      <c r="Z26">
        <v>4.5</v>
      </c>
      <c r="AA26">
        <v>8</v>
      </c>
      <c r="AB26">
        <v>8.3000000000000007</v>
      </c>
      <c r="AC26">
        <v>17.3</v>
      </c>
    </row>
    <row r="27" spans="1:33" x14ac:dyDescent="0.25">
      <c r="A27">
        <v>23</v>
      </c>
      <c r="B27" t="s">
        <v>725</v>
      </c>
      <c r="C27" t="s">
        <v>45</v>
      </c>
      <c r="D27" s="6">
        <f t="shared" si="6"/>
        <v>5.9</v>
      </c>
      <c r="E27">
        <v>7.3</v>
      </c>
      <c r="F27">
        <v>110.1</v>
      </c>
      <c r="G27" s="3">
        <f t="shared" si="1"/>
        <v>3</v>
      </c>
      <c r="H27" s="3">
        <f t="shared" si="2"/>
        <v>3</v>
      </c>
      <c r="I27" s="3">
        <f t="shared" si="3"/>
        <v>0</v>
      </c>
      <c r="J27" s="3">
        <f t="shared" si="4"/>
        <v>0</v>
      </c>
      <c r="K27" s="3">
        <f t="shared" si="5"/>
        <v>15</v>
      </c>
      <c r="L27">
        <v>2.2999999999999998</v>
      </c>
      <c r="M27">
        <v>5.9</v>
      </c>
      <c r="N27">
        <v>4.9000000000000004</v>
      </c>
      <c r="O27">
        <v>4.4000000000000004</v>
      </c>
      <c r="P27" t="s">
        <v>7</v>
      </c>
      <c r="Q27">
        <v>6.6</v>
      </c>
      <c r="R27">
        <v>16.100000000000001</v>
      </c>
      <c r="S27">
        <v>9.1</v>
      </c>
      <c r="T27">
        <v>2.9</v>
      </c>
      <c r="U27">
        <v>8</v>
      </c>
      <c r="V27">
        <v>18</v>
      </c>
      <c r="W27">
        <v>8.6999999999999993</v>
      </c>
      <c r="X27">
        <v>0</v>
      </c>
      <c r="Y27">
        <v>3.9</v>
      </c>
      <c r="Z27" t="s">
        <v>8</v>
      </c>
      <c r="AA27" t="s">
        <v>8</v>
      </c>
      <c r="AB27">
        <v>4.0999999999999996</v>
      </c>
      <c r="AC27">
        <v>15.2</v>
      </c>
    </row>
    <row r="28" spans="1:33" x14ac:dyDescent="0.25">
      <c r="A28">
        <v>17</v>
      </c>
      <c r="B28" t="s">
        <v>700</v>
      </c>
      <c r="C28" t="s">
        <v>26</v>
      </c>
      <c r="D28" s="6">
        <f t="shared" si="6"/>
        <v>7.8</v>
      </c>
      <c r="E28">
        <v>7.2</v>
      </c>
      <c r="F28">
        <v>122.8</v>
      </c>
      <c r="G28" s="3">
        <f t="shared" si="1"/>
        <v>5</v>
      </c>
      <c r="H28" s="3">
        <f t="shared" si="2"/>
        <v>1</v>
      </c>
      <c r="I28" s="3">
        <f t="shared" si="3"/>
        <v>0</v>
      </c>
      <c r="J28" s="3">
        <f t="shared" si="4"/>
        <v>0</v>
      </c>
      <c r="K28" s="3">
        <f t="shared" si="5"/>
        <v>17</v>
      </c>
      <c r="L28">
        <v>10.6</v>
      </c>
      <c r="M28">
        <v>0</v>
      </c>
      <c r="N28">
        <v>0</v>
      </c>
      <c r="O28">
        <v>3.3</v>
      </c>
      <c r="P28">
        <v>8.1</v>
      </c>
      <c r="Q28">
        <v>7.8</v>
      </c>
      <c r="R28">
        <v>4.8</v>
      </c>
      <c r="S28">
        <v>7.8</v>
      </c>
      <c r="T28">
        <v>6.1</v>
      </c>
      <c r="U28">
        <v>4.2</v>
      </c>
      <c r="V28">
        <v>12</v>
      </c>
      <c r="W28" t="s">
        <v>7</v>
      </c>
      <c r="X28">
        <v>8.6</v>
      </c>
      <c r="Y28">
        <v>15</v>
      </c>
      <c r="Z28">
        <v>3.2</v>
      </c>
      <c r="AA28">
        <v>4.7</v>
      </c>
      <c r="AB28">
        <v>12.6</v>
      </c>
      <c r="AC28">
        <v>14</v>
      </c>
    </row>
    <row r="29" spans="1:33" x14ac:dyDescent="0.25">
      <c r="A29">
        <v>19</v>
      </c>
      <c r="B29" t="s">
        <v>682</v>
      </c>
      <c r="C29" t="s">
        <v>43</v>
      </c>
      <c r="D29" s="6">
        <f t="shared" si="6"/>
        <v>5.6</v>
      </c>
      <c r="E29">
        <v>7.1</v>
      </c>
      <c r="F29">
        <v>120.4</v>
      </c>
      <c r="G29" s="3">
        <f t="shared" si="1"/>
        <v>3</v>
      </c>
      <c r="H29" s="3">
        <f t="shared" si="2"/>
        <v>2</v>
      </c>
      <c r="I29" s="3">
        <f t="shared" si="3"/>
        <v>2</v>
      </c>
      <c r="J29" s="3">
        <f t="shared" si="4"/>
        <v>0</v>
      </c>
      <c r="K29" s="3">
        <f t="shared" si="5"/>
        <v>17</v>
      </c>
      <c r="L29">
        <v>1.4</v>
      </c>
      <c r="M29">
        <v>6.7</v>
      </c>
      <c r="N29">
        <v>25.7</v>
      </c>
      <c r="O29">
        <v>6.4</v>
      </c>
      <c r="P29">
        <v>8.6999999999999993</v>
      </c>
      <c r="Q29">
        <v>24</v>
      </c>
      <c r="R29" t="s">
        <v>7</v>
      </c>
      <c r="S29">
        <v>4.4000000000000004</v>
      </c>
      <c r="T29">
        <v>0</v>
      </c>
      <c r="U29">
        <v>3.3</v>
      </c>
      <c r="V29">
        <v>7.2</v>
      </c>
      <c r="W29">
        <v>13.4</v>
      </c>
      <c r="X29">
        <v>5.6</v>
      </c>
      <c r="Y29">
        <v>0</v>
      </c>
      <c r="Z29">
        <v>2.4</v>
      </c>
      <c r="AA29">
        <v>8.9</v>
      </c>
      <c r="AB29">
        <v>0</v>
      </c>
      <c r="AC29">
        <v>2.2999999999999998</v>
      </c>
    </row>
    <row r="30" spans="1:33" x14ac:dyDescent="0.25">
      <c r="A30">
        <v>20</v>
      </c>
      <c r="B30" t="s">
        <v>684</v>
      </c>
      <c r="C30" t="s">
        <v>32</v>
      </c>
      <c r="D30" s="6">
        <f t="shared" si="6"/>
        <v>5.9</v>
      </c>
      <c r="E30">
        <v>7</v>
      </c>
      <c r="F30">
        <v>118.2</v>
      </c>
      <c r="G30" s="3">
        <f t="shared" si="1"/>
        <v>2</v>
      </c>
      <c r="H30" s="3">
        <f t="shared" si="2"/>
        <v>2</v>
      </c>
      <c r="I30" s="3">
        <f t="shared" si="3"/>
        <v>0</v>
      </c>
      <c r="J30" s="3">
        <f t="shared" si="4"/>
        <v>0</v>
      </c>
      <c r="K30" s="3">
        <f t="shared" si="5"/>
        <v>17</v>
      </c>
      <c r="L30">
        <v>4.5999999999999996</v>
      </c>
      <c r="M30">
        <v>4.0999999999999996</v>
      </c>
      <c r="N30">
        <v>3.1</v>
      </c>
      <c r="O30">
        <v>6.4</v>
      </c>
      <c r="P30">
        <v>7.4</v>
      </c>
      <c r="Q30">
        <v>6.7</v>
      </c>
      <c r="R30">
        <v>3.8</v>
      </c>
      <c r="S30">
        <v>9.1999999999999993</v>
      </c>
      <c r="T30">
        <v>5.0999999999999996</v>
      </c>
      <c r="U30">
        <v>9.6</v>
      </c>
      <c r="V30">
        <v>8.3000000000000007</v>
      </c>
      <c r="W30">
        <v>4</v>
      </c>
      <c r="X30">
        <v>17.100000000000001</v>
      </c>
      <c r="Y30" t="s">
        <v>7</v>
      </c>
      <c r="Z30">
        <v>3.3</v>
      </c>
      <c r="AA30">
        <v>15.5</v>
      </c>
      <c r="AB30">
        <v>4.0999999999999996</v>
      </c>
      <c r="AC30">
        <v>5.9</v>
      </c>
    </row>
    <row r="31" spans="1:33" x14ac:dyDescent="0.25">
      <c r="A31">
        <v>22</v>
      </c>
      <c r="B31" t="s">
        <v>710</v>
      </c>
      <c r="C31" t="s">
        <v>62</v>
      </c>
      <c r="D31" s="6">
        <f t="shared" si="6"/>
        <v>5.3</v>
      </c>
      <c r="E31">
        <v>6.7</v>
      </c>
      <c r="F31">
        <v>113.3</v>
      </c>
      <c r="G31" s="3">
        <f t="shared" si="1"/>
        <v>4</v>
      </c>
      <c r="H31" s="3">
        <f t="shared" si="2"/>
        <v>2</v>
      </c>
      <c r="I31" s="3">
        <f t="shared" si="3"/>
        <v>1</v>
      </c>
      <c r="J31" s="3">
        <f t="shared" si="4"/>
        <v>0</v>
      </c>
      <c r="K31" s="3">
        <f t="shared" si="5"/>
        <v>17</v>
      </c>
      <c r="L31">
        <v>6.7</v>
      </c>
      <c r="M31">
        <v>0</v>
      </c>
      <c r="N31">
        <v>2.2999999999999998</v>
      </c>
      <c r="O31">
        <v>8</v>
      </c>
      <c r="P31">
        <v>4.9000000000000004</v>
      </c>
      <c r="Q31" t="s">
        <v>7</v>
      </c>
      <c r="R31">
        <v>10.6</v>
      </c>
      <c r="S31">
        <v>5.3</v>
      </c>
      <c r="T31">
        <v>0</v>
      </c>
      <c r="U31">
        <v>3.8</v>
      </c>
      <c r="V31">
        <v>18.3</v>
      </c>
      <c r="W31">
        <v>22.6</v>
      </c>
      <c r="X31">
        <v>9.8000000000000007</v>
      </c>
      <c r="Y31">
        <v>6.6</v>
      </c>
      <c r="Z31">
        <v>10.1</v>
      </c>
      <c r="AA31">
        <v>2</v>
      </c>
      <c r="AB31">
        <v>1.6</v>
      </c>
      <c r="AC31">
        <v>0.7</v>
      </c>
    </row>
    <row r="32" spans="1:33" x14ac:dyDescent="0.25">
      <c r="A32">
        <v>21</v>
      </c>
      <c r="B32" t="s">
        <v>695</v>
      </c>
      <c r="C32" t="s">
        <v>47</v>
      </c>
      <c r="D32" s="6">
        <f t="shared" si="6"/>
        <v>4.5999999999999996</v>
      </c>
      <c r="E32">
        <v>6.7</v>
      </c>
      <c r="F32">
        <v>113.6</v>
      </c>
      <c r="G32" s="3">
        <f t="shared" si="1"/>
        <v>4</v>
      </c>
      <c r="H32" s="3">
        <f t="shared" si="2"/>
        <v>1</v>
      </c>
      <c r="I32" s="3">
        <f t="shared" si="3"/>
        <v>0</v>
      </c>
      <c r="J32" s="3">
        <f t="shared" si="4"/>
        <v>0</v>
      </c>
      <c r="K32" s="3">
        <f t="shared" si="5"/>
        <v>17</v>
      </c>
      <c r="L32">
        <v>9.5</v>
      </c>
      <c r="M32">
        <v>4.5999999999999996</v>
      </c>
      <c r="N32">
        <v>3.5</v>
      </c>
      <c r="O32">
        <v>1.5</v>
      </c>
      <c r="P32" t="s">
        <v>7</v>
      </c>
      <c r="Q32">
        <v>3.6</v>
      </c>
      <c r="R32">
        <v>9</v>
      </c>
      <c r="S32">
        <v>1.4</v>
      </c>
      <c r="T32">
        <v>6.8</v>
      </c>
      <c r="U32">
        <v>2.4</v>
      </c>
      <c r="V32">
        <v>3.9</v>
      </c>
      <c r="W32">
        <v>14</v>
      </c>
      <c r="X32">
        <v>5.7</v>
      </c>
      <c r="Y32">
        <v>3.8</v>
      </c>
      <c r="Z32">
        <v>13.9</v>
      </c>
      <c r="AA32">
        <v>19.100000000000001</v>
      </c>
      <c r="AB32">
        <v>10.9</v>
      </c>
      <c r="AC32">
        <v>0</v>
      </c>
    </row>
    <row r="33" spans="1:32" x14ac:dyDescent="0.25">
      <c r="A33">
        <v>24</v>
      </c>
      <c r="B33" t="s">
        <v>722</v>
      </c>
      <c r="C33" t="s">
        <v>57</v>
      </c>
      <c r="D33" s="6">
        <f t="shared" si="6"/>
        <v>6.7</v>
      </c>
      <c r="E33">
        <v>6.4</v>
      </c>
      <c r="F33">
        <v>108.6</v>
      </c>
      <c r="G33" s="3">
        <f t="shared" si="1"/>
        <v>2</v>
      </c>
      <c r="H33" s="3">
        <f t="shared" si="2"/>
        <v>1</v>
      </c>
      <c r="I33" s="3">
        <f t="shared" si="3"/>
        <v>0</v>
      </c>
      <c r="J33" s="3">
        <f t="shared" si="4"/>
        <v>0</v>
      </c>
      <c r="K33" s="3">
        <f t="shared" si="5"/>
        <v>17</v>
      </c>
      <c r="L33">
        <v>5.0999999999999996</v>
      </c>
      <c r="M33">
        <v>1.5</v>
      </c>
      <c r="N33">
        <v>2.9</v>
      </c>
      <c r="O33">
        <v>9.3000000000000007</v>
      </c>
      <c r="P33">
        <v>1.9</v>
      </c>
      <c r="Q33">
        <v>-0.5</v>
      </c>
      <c r="R33">
        <v>7.2</v>
      </c>
      <c r="S33">
        <v>4.5</v>
      </c>
      <c r="T33">
        <v>1.8</v>
      </c>
      <c r="U33">
        <v>9.4</v>
      </c>
      <c r="V33">
        <v>7.5</v>
      </c>
      <c r="W33">
        <v>15.9</v>
      </c>
      <c r="X33">
        <v>14.2</v>
      </c>
      <c r="Y33" t="s">
        <v>7</v>
      </c>
      <c r="Z33">
        <v>6.8</v>
      </c>
      <c r="AA33">
        <v>9.5</v>
      </c>
      <c r="AB33">
        <v>4.9000000000000004</v>
      </c>
      <c r="AC33">
        <v>6.7</v>
      </c>
    </row>
    <row r="34" spans="1:32" x14ac:dyDescent="0.25">
      <c r="A34">
        <v>28</v>
      </c>
      <c r="B34" t="s">
        <v>723</v>
      </c>
      <c r="C34" t="s">
        <v>26</v>
      </c>
      <c r="D34" s="6">
        <f t="shared" si="6"/>
        <v>6</v>
      </c>
      <c r="E34">
        <v>6.1</v>
      </c>
      <c r="F34">
        <v>103.3</v>
      </c>
      <c r="G34" s="3">
        <f t="shared" si="1"/>
        <v>3</v>
      </c>
      <c r="H34" s="3">
        <f t="shared" si="2"/>
        <v>0</v>
      </c>
      <c r="I34" s="3">
        <f t="shared" si="3"/>
        <v>0</v>
      </c>
      <c r="J34" s="3">
        <f t="shared" si="4"/>
        <v>0</v>
      </c>
      <c r="K34" s="3">
        <f t="shared" si="5"/>
        <v>17</v>
      </c>
      <c r="L34">
        <v>14.3</v>
      </c>
      <c r="M34">
        <v>0</v>
      </c>
      <c r="N34">
        <v>1.2</v>
      </c>
      <c r="O34">
        <v>0</v>
      </c>
      <c r="P34">
        <v>9.3000000000000007</v>
      </c>
      <c r="Q34">
        <v>7.4</v>
      </c>
      <c r="R34">
        <v>5.8</v>
      </c>
      <c r="S34">
        <v>0</v>
      </c>
      <c r="T34">
        <v>8.6999999999999993</v>
      </c>
      <c r="U34">
        <v>0</v>
      </c>
      <c r="V34">
        <v>8</v>
      </c>
      <c r="W34" t="s">
        <v>7</v>
      </c>
      <c r="X34">
        <v>2.6</v>
      </c>
      <c r="Y34">
        <v>6</v>
      </c>
      <c r="Z34">
        <v>13.9</v>
      </c>
      <c r="AA34">
        <v>5.3</v>
      </c>
      <c r="AB34">
        <v>13.7</v>
      </c>
      <c r="AC34">
        <v>7.1</v>
      </c>
    </row>
    <row r="35" spans="1:32" x14ac:dyDescent="0.25">
      <c r="A35">
        <v>37</v>
      </c>
      <c r="B35" t="s">
        <v>778</v>
      </c>
      <c r="C35" t="s">
        <v>55</v>
      </c>
      <c r="D35" s="6">
        <f t="shared" si="6"/>
        <v>6.25</v>
      </c>
      <c r="E35">
        <v>5.7</v>
      </c>
      <c r="F35">
        <v>68.099999999999994</v>
      </c>
      <c r="G35" s="3">
        <f t="shared" si="1"/>
        <v>2</v>
      </c>
      <c r="H35" s="3">
        <f t="shared" si="2"/>
        <v>0</v>
      </c>
      <c r="I35" s="3">
        <f t="shared" si="3"/>
        <v>0</v>
      </c>
      <c r="J35" s="3">
        <f t="shared" si="4"/>
        <v>0</v>
      </c>
      <c r="K35" s="3">
        <f t="shared" si="5"/>
        <v>12</v>
      </c>
      <c r="L35">
        <v>2.8</v>
      </c>
      <c r="M35">
        <v>0</v>
      </c>
      <c r="N35">
        <v>2.2999999999999998</v>
      </c>
      <c r="O35">
        <v>1.6</v>
      </c>
      <c r="P35">
        <v>9.8000000000000007</v>
      </c>
      <c r="Q35">
        <v>6</v>
      </c>
      <c r="R35">
        <v>0</v>
      </c>
      <c r="S35">
        <v>6.5</v>
      </c>
      <c r="T35">
        <v>14.1</v>
      </c>
      <c r="U35">
        <v>7.7</v>
      </c>
      <c r="V35" t="s">
        <v>7</v>
      </c>
      <c r="W35">
        <v>6.9</v>
      </c>
      <c r="X35">
        <v>10.4</v>
      </c>
      <c r="Y35" t="s">
        <v>8</v>
      </c>
      <c r="Z35" t="s">
        <v>8</v>
      </c>
      <c r="AA35" t="s">
        <v>8</v>
      </c>
      <c r="AB35" t="s">
        <v>8</v>
      </c>
      <c r="AC35" t="s">
        <v>8</v>
      </c>
    </row>
    <row r="36" spans="1:32" x14ac:dyDescent="0.25">
      <c r="A36">
        <v>32</v>
      </c>
      <c r="B36" t="s">
        <v>740</v>
      </c>
      <c r="C36" t="s">
        <v>90</v>
      </c>
      <c r="D36" s="6">
        <f t="shared" si="6"/>
        <v>5.7</v>
      </c>
      <c r="E36">
        <v>5.4</v>
      </c>
      <c r="F36">
        <v>91</v>
      </c>
      <c r="G36" s="3">
        <f t="shared" si="1"/>
        <v>3</v>
      </c>
      <c r="H36" s="3">
        <f t="shared" si="2"/>
        <v>1</v>
      </c>
      <c r="I36" s="3">
        <f t="shared" si="3"/>
        <v>0</v>
      </c>
      <c r="J36" s="3">
        <f t="shared" si="4"/>
        <v>0</v>
      </c>
      <c r="K36" s="3">
        <f t="shared" si="5"/>
        <v>17</v>
      </c>
      <c r="L36">
        <v>5.7</v>
      </c>
      <c r="M36">
        <v>2</v>
      </c>
      <c r="N36">
        <v>6.9</v>
      </c>
      <c r="O36">
        <v>2</v>
      </c>
      <c r="P36">
        <v>11.2</v>
      </c>
      <c r="Q36">
        <v>0</v>
      </c>
      <c r="R36">
        <v>8.1999999999999993</v>
      </c>
      <c r="S36">
        <v>0</v>
      </c>
      <c r="T36">
        <v>6.2</v>
      </c>
      <c r="U36" t="s">
        <v>8</v>
      </c>
      <c r="V36">
        <v>2.9</v>
      </c>
      <c r="W36">
        <v>6.8</v>
      </c>
      <c r="X36">
        <v>0</v>
      </c>
      <c r="Y36">
        <v>2.4</v>
      </c>
      <c r="Z36">
        <v>6</v>
      </c>
      <c r="AA36">
        <v>1.8</v>
      </c>
      <c r="AB36">
        <v>10.9</v>
      </c>
      <c r="AC36">
        <v>18</v>
      </c>
    </row>
    <row r="37" spans="1:32" x14ac:dyDescent="0.25">
      <c r="A37">
        <v>31</v>
      </c>
      <c r="B37" t="s">
        <v>755</v>
      </c>
      <c r="C37" t="s">
        <v>66</v>
      </c>
      <c r="D37" s="6">
        <f t="shared" si="6"/>
        <v>3.1</v>
      </c>
      <c r="E37">
        <v>5.4</v>
      </c>
      <c r="F37">
        <v>91.1</v>
      </c>
      <c r="G37" s="3">
        <f t="shared" si="1"/>
        <v>4</v>
      </c>
      <c r="H37" s="3">
        <f t="shared" si="2"/>
        <v>1</v>
      </c>
      <c r="I37" s="3">
        <f t="shared" si="3"/>
        <v>0</v>
      </c>
      <c r="J37" s="3">
        <f t="shared" si="4"/>
        <v>0</v>
      </c>
      <c r="K37" s="3">
        <f t="shared" si="5"/>
        <v>17</v>
      </c>
      <c r="L37">
        <v>0</v>
      </c>
      <c r="M37">
        <v>9.5</v>
      </c>
      <c r="N37">
        <v>9.1999999999999993</v>
      </c>
      <c r="O37">
        <v>4.9000000000000004</v>
      </c>
      <c r="P37">
        <v>12.4</v>
      </c>
      <c r="Q37">
        <v>2.1</v>
      </c>
      <c r="R37">
        <v>0</v>
      </c>
      <c r="S37">
        <v>10.9</v>
      </c>
      <c r="T37">
        <v>0</v>
      </c>
      <c r="U37">
        <v>4.5</v>
      </c>
      <c r="V37">
        <v>1.6</v>
      </c>
      <c r="W37" t="s">
        <v>7</v>
      </c>
      <c r="X37">
        <v>2.4</v>
      </c>
      <c r="Y37">
        <v>3.1</v>
      </c>
      <c r="Z37">
        <v>18.3</v>
      </c>
      <c r="AA37">
        <v>2.2000000000000002</v>
      </c>
      <c r="AB37">
        <v>0</v>
      </c>
      <c r="AC37">
        <v>10</v>
      </c>
    </row>
    <row r="38" spans="1:32" x14ac:dyDescent="0.25">
      <c r="A38">
        <v>44</v>
      </c>
      <c r="B38" t="s">
        <v>713</v>
      </c>
      <c r="C38" t="s">
        <v>36</v>
      </c>
      <c r="D38" s="6">
        <f t="shared" si="6"/>
        <v>4.4000000000000004</v>
      </c>
      <c r="E38">
        <v>4.7</v>
      </c>
      <c r="F38">
        <v>56.4</v>
      </c>
      <c r="G38" s="3">
        <f t="shared" si="1"/>
        <v>2</v>
      </c>
      <c r="H38" s="3">
        <f t="shared" si="2"/>
        <v>0</v>
      </c>
      <c r="I38" s="3">
        <f t="shared" si="3"/>
        <v>0</v>
      </c>
      <c r="J38" s="3">
        <f t="shared" si="4"/>
        <v>0</v>
      </c>
      <c r="K38" s="3">
        <f t="shared" si="5"/>
        <v>12</v>
      </c>
      <c r="L38" t="s">
        <v>8</v>
      </c>
      <c r="M38">
        <v>5.3</v>
      </c>
      <c r="N38">
        <v>5.9</v>
      </c>
      <c r="O38">
        <v>0</v>
      </c>
      <c r="P38">
        <v>-0.3</v>
      </c>
      <c r="Q38" t="s">
        <v>8</v>
      </c>
      <c r="R38" t="s">
        <v>8</v>
      </c>
      <c r="S38">
        <v>3.3</v>
      </c>
      <c r="T38" t="s">
        <v>8</v>
      </c>
      <c r="U38" t="s">
        <v>8</v>
      </c>
      <c r="V38" t="s">
        <v>7</v>
      </c>
      <c r="W38">
        <v>1.5</v>
      </c>
      <c r="X38">
        <v>12.7</v>
      </c>
      <c r="Y38">
        <v>7.3</v>
      </c>
      <c r="Z38">
        <v>3.5</v>
      </c>
      <c r="AA38">
        <v>6.2</v>
      </c>
      <c r="AB38">
        <v>0</v>
      </c>
      <c r="AC38">
        <v>11</v>
      </c>
    </row>
    <row r="39" spans="1:32" x14ac:dyDescent="0.25">
      <c r="A39">
        <v>35</v>
      </c>
      <c r="B39" t="s">
        <v>776</v>
      </c>
      <c r="C39" t="s">
        <v>53</v>
      </c>
      <c r="D39" s="6">
        <f t="shared" si="6"/>
        <v>3.5</v>
      </c>
      <c r="E39">
        <v>4.5999999999999996</v>
      </c>
      <c r="F39">
        <v>78.5</v>
      </c>
      <c r="G39" s="3">
        <f t="shared" si="1"/>
        <v>2</v>
      </c>
      <c r="H39" s="3">
        <f t="shared" si="2"/>
        <v>0</v>
      </c>
      <c r="I39" s="3">
        <f t="shared" si="3"/>
        <v>0</v>
      </c>
      <c r="J39" s="3">
        <f t="shared" si="4"/>
        <v>0</v>
      </c>
      <c r="K39" s="3">
        <f t="shared" si="5"/>
        <v>17</v>
      </c>
      <c r="L39">
        <v>0</v>
      </c>
      <c r="M39">
        <v>0</v>
      </c>
      <c r="N39">
        <v>4.3</v>
      </c>
      <c r="O39">
        <v>10.7</v>
      </c>
      <c r="P39">
        <v>2.2999999999999998</v>
      </c>
      <c r="Q39">
        <v>2.2999999999999998</v>
      </c>
      <c r="R39">
        <v>1.5</v>
      </c>
      <c r="S39">
        <v>5.4</v>
      </c>
      <c r="T39">
        <v>6.7</v>
      </c>
      <c r="U39" t="s">
        <v>7</v>
      </c>
      <c r="V39">
        <v>3.5</v>
      </c>
      <c r="W39">
        <v>4.9000000000000004</v>
      </c>
      <c r="X39">
        <v>9.4</v>
      </c>
      <c r="Y39">
        <v>2.2999999999999998</v>
      </c>
      <c r="Z39">
        <v>1.5</v>
      </c>
      <c r="AA39">
        <v>9.3000000000000007</v>
      </c>
      <c r="AB39">
        <v>0</v>
      </c>
      <c r="AC39">
        <v>14.4</v>
      </c>
    </row>
    <row r="40" spans="1:32" x14ac:dyDescent="0.25">
      <c r="A40">
        <v>36</v>
      </c>
      <c r="B40" t="s">
        <v>777</v>
      </c>
      <c r="C40" t="s">
        <v>36</v>
      </c>
      <c r="D40" s="6">
        <f t="shared" si="6"/>
        <v>3.2</v>
      </c>
      <c r="E40">
        <v>4.5999999999999996</v>
      </c>
      <c r="F40">
        <v>73.2</v>
      </c>
      <c r="G40" s="3">
        <f t="shared" si="1"/>
        <v>2</v>
      </c>
      <c r="H40" s="3">
        <f t="shared" si="2"/>
        <v>0</v>
      </c>
      <c r="I40" s="3">
        <f t="shared" si="3"/>
        <v>0</v>
      </c>
      <c r="J40" s="3">
        <f t="shared" si="4"/>
        <v>0</v>
      </c>
      <c r="K40" s="3">
        <f t="shared" si="5"/>
        <v>16</v>
      </c>
      <c r="L40">
        <v>1.4</v>
      </c>
      <c r="M40">
        <v>2.8</v>
      </c>
      <c r="N40">
        <v>0</v>
      </c>
      <c r="O40">
        <v>3.6</v>
      </c>
      <c r="P40">
        <v>4.3</v>
      </c>
      <c r="Q40">
        <v>9.9</v>
      </c>
      <c r="R40">
        <v>12.1</v>
      </c>
      <c r="S40">
        <v>1.7</v>
      </c>
      <c r="T40">
        <v>12.7</v>
      </c>
      <c r="U40">
        <v>8.8000000000000007</v>
      </c>
      <c r="V40" t="s">
        <v>7</v>
      </c>
      <c r="W40">
        <v>7.9</v>
      </c>
      <c r="X40" t="s">
        <v>8</v>
      </c>
      <c r="Y40">
        <v>0</v>
      </c>
      <c r="Z40">
        <v>0</v>
      </c>
      <c r="AA40">
        <v>0</v>
      </c>
      <c r="AB40">
        <v>1.5</v>
      </c>
      <c r="AC40">
        <v>6.5</v>
      </c>
    </row>
    <row r="41" spans="1:32" x14ac:dyDescent="0.25">
      <c r="A41">
        <v>38</v>
      </c>
      <c r="B41" t="s">
        <v>716</v>
      </c>
      <c r="C41" t="s">
        <v>38</v>
      </c>
      <c r="D41" s="6">
        <f t="shared" si="6"/>
        <v>3.6</v>
      </c>
      <c r="E41">
        <v>4.4000000000000004</v>
      </c>
      <c r="F41">
        <v>65.8</v>
      </c>
      <c r="G41" s="3">
        <f t="shared" si="1"/>
        <v>2</v>
      </c>
      <c r="H41" s="3">
        <f t="shared" si="2"/>
        <v>1</v>
      </c>
      <c r="I41" s="3">
        <f t="shared" si="3"/>
        <v>0</v>
      </c>
      <c r="J41" s="3">
        <f t="shared" si="4"/>
        <v>0</v>
      </c>
      <c r="K41" s="3">
        <f t="shared" si="5"/>
        <v>15</v>
      </c>
      <c r="L41">
        <v>4.7</v>
      </c>
      <c r="M41">
        <v>0</v>
      </c>
      <c r="N41">
        <v>0</v>
      </c>
      <c r="O41">
        <v>9</v>
      </c>
      <c r="P41">
        <v>0</v>
      </c>
      <c r="Q41" t="s">
        <v>7</v>
      </c>
      <c r="R41">
        <v>1.5</v>
      </c>
      <c r="S41">
        <v>11</v>
      </c>
      <c r="T41">
        <v>16.8</v>
      </c>
      <c r="U41">
        <v>9.1999999999999993</v>
      </c>
      <c r="V41">
        <v>6.4</v>
      </c>
      <c r="W41" t="s">
        <v>8</v>
      </c>
      <c r="X41" t="s">
        <v>8</v>
      </c>
      <c r="Y41">
        <v>3.6</v>
      </c>
      <c r="Z41">
        <v>0</v>
      </c>
      <c r="AA41">
        <v>0</v>
      </c>
      <c r="AB41">
        <v>0</v>
      </c>
      <c r="AC41">
        <v>3.6</v>
      </c>
    </row>
    <row r="42" spans="1:32" x14ac:dyDescent="0.25">
      <c r="A42">
        <v>54</v>
      </c>
      <c r="B42" t="s">
        <v>780</v>
      </c>
      <c r="C42" t="s">
        <v>30</v>
      </c>
      <c r="E42">
        <v>4</v>
      </c>
      <c r="F42">
        <v>35.799999999999997</v>
      </c>
      <c r="G42" s="3">
        <f t="shared" si="1"/>
        <v>0</v>
      </c>
      <c r="H42" s="3">
        <f t="shared" si="2"/>
        <v>0</v>
      </c>
      <c r="I42" s="3">
        <f t="shared" si="3"/>
        <v>0</v>
      </c>
      <c r="J42" s="3">
        <f t="shared" si="4"/>
        <v>0</v>
      </c>
      <c r="K42" s="3">
        <f t="shared" si="5"/>
        <v>9</v>
      </c>
      <c r="L42">
        <v>0</v>
      </c>
      <c r="M42">
        <v>7.2</v>
      </c>
      <c r="N42">
        <v>6.2</v>
      </c>
      <c r="O42">
        <v>6.8</v>
      </c>
      <c r="P42">
        <v>3</v>
      </c>
      <c r="Q42">
        <v>3</v>
      </c>
      <c r="R42">
        <v>0</v>
      </c>
      <c r="S42">
        <v>5.2</v>
      </c>
      <c r="T42">
        <v>4.4000000000000004</v>
      </c>
      <c r="U42" t="s">
        <v>8</v>
      </c>
      <c r="V42" t="s">
        <v>8</v>
      </c>
      <c r="W42" t="s">
        <v>7</v>
      </c>
      <c r="X42" t="s">
        <v>8</v>
      </c>
      <c r="Y42" t="s">
        <v>8</v>
      </c>
      <c r="Z42" t="s">
        <v>8</v>
      </c>
      <c r="AA42" t="s">
        <v>8</v>
      </c>
      <c r="AB42" t="s">
        <v>8</v>
      </c>
      <c r="AC42" t="s">
        <v>8</v>
      </c>
    </row>
    <row r="43" spans="1:32" x14ac:dyDescent="0.25">
      <c r="A43">
        <v>39</v>
      </c>
      <c r="B43" t="s">
        <v>712</v>
      </c>
      <c r="C43" t="s">
        <v>20</v>
      </c>
      <c r="D43" s="6">
        <f>MEDIAN(L43:AC43)</f>
        <v>2.2999999999999998</v>
      </c>
      <c r="E43">
        <v>3.8</v>
      </c>
      <c r="F43">
        <v>65.400000000000006</v>
      </c>
      <c r="G43" s="3">
        <f t="shared" si="1"/>
        <v>1</v>
      </c>
      <c r="H43" s="3">
        <f t="shared" si="2"/>
        <v>0</v>
      </c>
      <c r="I43" s="3">
        <f t="shared" si="3"/>
        <v>0</v>
      </c>
      <c r="J43" s="3">
        <f t="shared" si="4"/>
        <v>0</v>
      </c>
      <c r="K43" s="3">
        <f t="shared" si="5"/>
        <v>17</v>
      </c>
      <c r="L43">
        <v>8.6999999999999993</v>
      </c>
      <c r="M43">
        <v>2.2000000000000002</v>
      </c>
      <c r="N43">
        <v>5.0999999999999996</v>
      </c>
      <c r="O43">
        <v>7.3</v>
      </c>
      <c r="P43">
        <v>12.2</v>
      </c>
      <c r="Q43" t="s">
        <v>7</v>
      </c>
      <c r="R43">
        <v>5.2</v>
      </c>
      <c r="S43">
        <v>3.7</v>
      </c>
      <c r="T43">
        <v>0</v>
      </c>
      <c r="U43">
        <v>0</v>
      </c>
      <c r="V43">
        <v>8.9</v>
      </c>
      <c r="W43">
        <v>2</v>
      </c>
      <c r="X43">
        <v>2.2999999999999998</v>
      </c>
      <c r="Y43">
        <v>2.1</v>
      </c>
      <c r="Z43">
        <v>4.0999999999999996</v>
      </c>
      <c r="AA43">
        <v>0</v>
      </c>
      <c r="AB43">
        <v>0</v>
      </c>
      <c r="AC43">
        <v>1.6</v>
      </c>
      <c r="AF43" s="3">
        <f>MEDIAN(L8:AC46)</f>
        <v>6.2</v>
      </c>
    </row>
    <row r="44" spans="1:32" x14ac:dyDescent="0.25">
      <c r="A44">
        <v>42</v>
      </c>
      <c r="B44" t="s">
        <v>715</v>
      </c>
      <c r="C44" t="s">
        <v>22</v>
      </c>
      <c r="D44" s="6">
        <f>MEDIAN(L44:AC44)</f>
        <v>2.5</v>
      </c>
      <c r="E44">
        <v>3.7</v>
      </c>
      <c r="F44">
        <v>59.1</v>
      </c>
      <c r="G44" s="3">
        <f t="shared" si="1"/>
        <v>0</v>
      </c>
      <c r="H44" s="3">
        <f t="shared" si="2"/>
        <v>0</v>
      </c>
      <c r="I44" s="3">
        <f t="shared" si="3"/>
        <v>0</v>
      </c>
      <c r="J44" s="3">
        <f t="shared" si="4"/>
        <v>0</v>
      </c>
      <c r="K44" s="3">
        <f t="shared" si="5"/>
        <v>16</v>
      </c>
      <c r="L44">
        <v>3.3</v>
      </c>
      <c r="M44">
        <v>0</v>
      </c>
      <c r="N44">
        <v>1.7</v>
      </c>
      <c r="O44">
        <v>1</v>
      </c>
      <c r="P44">
        <v>0</v>
      </c>
      <c r="Q44">
        <v>8.1999999999999993</v>
      </c>
      <c r="R44">
        <v>1.5</v>
      </c>
      <c r="S44">
        <v>7</v>
      </c>
      <c r="T44">
        <v>1.5</v>
      </c>
      <c r="U44">
        <v>6</v>
      </c>
      <c r="V44">
        <v>8</v>
      </c>
      <c r="W44" t="s">
        <v>7</v>
      </c>
      <c r="X44">
        <v>7.6</v>
      </c>
      <c r="Y44">
        <v>1.5</v>
      </c>
      <c r="Z44">
        <v>6.2</v>
      </c>
      <c r="AA44">
        <v>4.2</v>
      </c>
      <c r="AB44">
        <v>1.4</v>
      </c>
      <c r="AC44" t="s">
        <v>8</v>
      </c>
    </row>
    <row r="45" spans="1:32" x14ac:dyDescent="0.25">
      <c r="A45">
        <v>40</v>
      </c>
      <c r="B45" t="s">
        <v>746</v>
      </c>
      <c r="C45" t="s">
        <v>47</v>
      </c>
      <c r="D45" s="6">
        <f>MEDIAN(L45:AC45)</f>
        <v>1.6</v>
      </c>
      <c r="E45">
        <v>3.6</v>
      </c>
      <c r="F45">
        <v>60.8</v>
      </c>
      <c r="G45" s="3">
        <f t="shared" si="1"/>
        <v>1</v>
      </c>
      <c r="H45" s="3">
        <f t="shared" si="2"/>
        <v>0</v>
      </c>
      <c r="I45" s="3">
        <f t="shared" si="3"/>
        <v>0</v>
      </c>
      <c r="J45" s="3">
        <f t="shared" si="4"/>
        <v>0</v>
      </c>
      <c r="K45" s="3">
        <f t="shared" si="5"/>
        <v>17</v>
      </c>
      <c r="L45">
        <v>0</v>
      </c>
      <c r="M45">
        <v>3.3</v>
      </c>
      <c r="N45">
        <v>8.3000000000000007</v>
      </c>
      <c r="O45">
        <v>1.5</v>
      </c>
      <c r="P45" t="s">
        <v>7</v>
      </c>
      <c r="Q45">
        <v>1.2</v>
      </c>
      <c r="R45">
        <v>6.4</v>
      </c>
      <c r="S45">
        <v>5.3</v>
      </c>
      <c r="T45">
        <v>2.2000000000000002</v>
      </c>
      <c r="U45">
        <v>0</v>
      </c>
      <c r="V45">
        <v>1.6</v>
      </c>
      <c r="W45">
        <v>0</v>
      </c>
      <c r="X45">
        <v>1.3</v>
      </c>
      <c r="Y45">
        <v>5.0999999999999996</v>
      </c>
      <c r="Z45">
        <v>14.7</v>
      </c>
      <c r="AA45">
        <v>0</v>
      </c>
      <c r="AB45">
        <v>0</v>
      </c>
      <c r="AC45">
        <v>9.9</v>
      </c>
    </row>
    <row r="46" spans="1:32" x14ac:dyDescent="0.25">
      <c r="A46">
        <v>41</v>
      </c>
      <c r="B46" t="s">
        <v>766</v>
      </c>
      <c r="C46" t="s">
        <v>6</v>
      </c>
      <c r="D46" s="6">
        <f>MEDIAN(L46:AC46)</f>
        <v>3</v>
      </c>
      <c r="E46">
        <v>3.5</v>
      </c>
      <c r="F46">
        <v>59.8</v>
      </c>
      <c r="G46" s="3">
        <f t="shared" si="1"/>
        <v>2</v>
      </c>
      <c r="H46" s="3">
        <f t="shared" si="2"/>
        <v>0</v>
      </c>
      <c r="I46" s="3">
        <f t="shared" si="3"/>
        <v>0</v>
      </c>
      <c r="J46" s="3">
        <f t="shared" si="4"/>
        <v>0</v>
      </c>
      <c r="K46" s="3">
        <f t="shared" si="5"/>
        <v>17</v>
      </c>
      <c r="L46">
        <v>2.1</v>
      </c>
      <c r="M46">
        <v>3.9</v>
      </c>
      <c r="N46">
        <v>0</v>
      </c>
      <c r="O46">
        <v>3.6</v>
      </c>
      <c r="P46" t="s">
        <v>7</v>
      </c>
      <c r="Q46">
        <v>10.7</v>
      </c>
      <c r="R46">
        <v>1.5</v>
      </c>
      <c r="S46">
        <v>8.8000000000000007</v>
      </c>
      <c r="T46">
        <v>8</v>
      </c>
      <c r="U46">
        <v>0</v>
      </c>
      <c r="V46">
        <v>0</v>
      </c>
      <c r="W46">
        <v>0</v>
      </c>
      <c r="X46">
        <v>0</v>
      </c>
      <c r="Y46">
        <v>10.6</v>
      </c>
      <c r="Z46">
        <v>3.2</v>
      </c>
      <c r="AA46">
        <v>0</v>
      </c>
      <c r="AB46">
        <v>4.4000000000000004</v>
      </c>
      <c r="AC46">
        <v>3</v>
      </c>
    </row>
    <row r="47" spans="1:32" x14ac:dyDescent="0.25">
      <c r="A47">
        <v>51</v>
      </c>
      <c r="B47" t="s">
        <v>701</v>
      </c>
      <c r="C47" t="s">
        <v>30</v>
      </c>
      <c r="E47">
        <v>3.5</v>
      </c>
      <c r="F47">
        <v>38.5</v>
      </c>
      <c r="G47" s="3">
        <f t="shared" si="1"/>
        <v>1</v>
      </c>
      <c r="H47" s="3">
        <f t="shared" si="2"/>
        <v>1</v>
      </c>
      <c r="I47" s="3">
        <f t="shared" si="3"/>
        <v>0</v>
      </c>
      <c r="J47" s="3">
        <f t="shared" si="4"/>
        <v>0</v>
      </c>
      <c r="K47" s="3">
        <f t="shared" si="5"/>
        <v>11</v>
      </c>
      <c r="L47">
        <v>1.8</v>
      </c>
      <c r="M47" t="s">
        <v>8</v>
      </c>
      <c r="N47" t="s">
        <v>8</v>
      </c>
      <c r="O47" t="s">
        <v>8</v>
      </c>
      <c r="P47" t="s">
        <v>8</v>
      </c>
      <c r="Q47">
        <v>0</v>
      </c>
      <c r="R47">
        <v>0</v>
      </c>
      <c r="S47">
        <v>0</v>
      </c>
      <c r="T47">
        <v>3.4</v>
      </c>
      <c r="U47">
        <v>16.3</v>
      </c>
      <c r="V47">
        <v>3.3</v>
      </c>
      <c r="W47" t="s">
        <v>7</v>
      </c>
      <c r="X47">
        <v>6.8</v>
      </c>
      <c r="Y47">
        <v>2.9</v>
      </c>
      <c r="Z47">
        <v>1.9</v>
      </c>
      <c r="AA47" t="s">
        <v>8</v>
      </c>
      <c r="AB47" t="s">
        <v>8</v>
      </c>
      <c r="AC47">
        <v>2.1</v>
      </c>
    </row>
    <row r="48" spans="1:32" x14ac:dyDescent="0.25">
      <c r="A48">
        <v>43</v>
      </c>
      <c r="B48" t="s">
        <v>742</v>
      </c>
      <c r="C48" t="s">
        <v>64</v>
      </c>
      <c r="D48" s="6">
        <f>MEDIAN(L48:AC48)</f>
        <v>1.3</v>
      </c>
      <c r="E48">
        <v>3.4</v>
      </c>
      <c r="F48">
        <v>57.1</v>
      </c>
      <c r="G48" s="3">
        <f t="shared" si="1"/>
        <v>3</v>
      </c>
      <c r="H48" s="3">
        <f t="shared" si="2"/>
        <v>0</v>
      </c>
      <c r="I48" s="3">
        <f t="shared" si="3"/>
        <v>0</v>
      </c>
      <c r="J48" s="3">
        <f t="shared" si="4"/>
        <v>0</v>
      </c>
      <c r="K48" s="3">
        <f t="shared" si="5"/>
        <v>17</v>
      </c>
      <c r="L48">
        <v>0</v>
      </c>
      <c r="M48">
        <v>10.3</v>
      </c>
      <c r="N48">
        <v>1.5</v>
      </c>
      <c r="O48">
        <v>0</v>
      </c>
      <c r="P48">
        <v>1.8</v>
      </c>
      <c r="Q48">
        <v>0</v>
      </c>
      <c r="R48" t="s">
        <v>7</v>
      </c>
      <c r="S48">
        <v>0</v>
      </c>
      <c r="T48">
        <v>0</v>
      </c>
      <c r="U48">
        <v>0</v>
      </c>
      <c r="V48">
        <v>11.6</v>
      </c>
      <c r="W48">
        <v>14.5</v>
      </c>
      <c r="X48">
        <v>8.3000000000000007</v>
      </c>
      <c r="Y48">
        <v>4.2</v>
      </c>
      <c r="Z48">
        <v>0</v>
      </c>
      <c r="AA48">
        <v>1.3</v>
      </c>
      <c r="AB48">
        <v>0</v>
      </c>
      <c r="AC48">
        <v>3.6</v>
      </c>
    </row>
    <row r="49" spans="1:29" x14ac:dyDescent="0.25">
      <c r="A49">
        <v>52</v>
      </c>
      <c r="B49" t="s">
        <v>709</v>
      </c>
      <c r="C49" t="s">
        <v>97</v>
      </c>
      <c r="E49">
        <v>3.3</v>
      </c>
      <c r="F49">
        <v>36.6</v>
      </c>
      <c r="G49" s="3">
        <f t="shared" si="1"/>
        <v>1</v>
      </c>
      <c r="H49" s="3">
        <f t="shared" si="2"/>
        <v>0</v>
      </c>
      <c r="I49" s="3">
        <f t="shared" si="3"/>
        <v>0</v>
      </c>
      <c r="J49" s="3">
        <f t="shared" si="4"/>
        <v>0</v>
      </c>
      <c r="K49" s="3">
        <f t="shared" si="5"/>
        <v>11</v>
      </c>
      <c r="L49">
        <v>2.2999999999999998</v>
      </c>
      <c r="M49">
        <v>2.1</v>
      </c>
      <c r="N49">
        <v>1.7</v>
      </c>
      <c r="O49" t="s">
        <v>8</v>
      </c>
      <c r="P49" t="s">
        <v>8</v>
      </c>
      <c r="Q49" t="s">
        <v>8</v>
      </c>
      <c r="R49" t="s">
        <v>8</v>
      </c>
      <c r="S49" t="s">
        <v>8</v>
      </c>
      <c r="T49" t="s">
        <v>8</v>
      </c>
      <c r="U49" t="s">
        <v>7</v>
      </c>
      <c r="V49">
        <v>1.5</v>
      </c>
      <c r="W49">
        <v>3.1</v>
      </c>
      <c r="X49">
        <v>1.5</v>
      </c>
      <c r="Y49">
        <v>13.8</v>
      </c>
      <c r="Z49">
        <v>2.1</v>
      </c>
      <c r="AA49">
        <v>0</v>
      </c>
      <c r="AB49">
        <v>2.4</v>
      </c>
      <c r="AC49">
        <v>6.1</v>
      </c>
    </row>
    <row r="50" spans="1:29" x14ac:dyDescent="0.25">
      <c r="A50">
        <v>45</v>
      </c>
      <c r="B50" t="s">
        <v>732</v>
      </c>
      <c r="C50" t="s">
        <v>28</v>
      </c>
      <c r="D50" s="6">
        <f>MEDIAN(L50:AC50)</f>
        <v>3.2</v>
      </c>
      <c r="E50">
        <v>2.9</v>
      </c>
      <c r="F50">
        <v>49.2</v>
      </c>
      <c r="G50" s="3">
        <f t="shared" si="1"/>
        <v>0</v>
      </c>
      <c r="H50" s="3">
        <f t="shared" si="2"/>
        <v>0</v>
      </c>
      <c r="I50" s="3">
        <f t="shared" si="3"/>
        <v>0</v>
      </c>
      <c r="J50" s="3">
        <f t="shared" si="4"/>
        <v>0</v>
      </c>
      <c r="K50" s="3">
        <f t="shared" si="5"/>
        <v>17</v>
      </c>
      <c r="L50">
        <v>3.2</v>
      </c>
      <c r="M50">
        <v>8.8000000000000007</v>
      </c>
      <c r="N50">
        <v>2.1</v>
      </c>
      <c r="O50">
        <v>3.2</v>
      </c>
      <c r="P50">
        <v>7.2</v>
      </c>
      <c r="Q50">
        <v>0</v>
      </c>
      <c r="R50">
        <v>1.1000000000000001</v>
      </c>
      <c r="S50">
        <v>3.3</v>
      </c>
      <c r="T50">
        <v>5.4</v>
      </c>
      <c r="U50">
        <v>3.3</v>
      </c>
      <c r="V50" t="s">
        <v>7</v>
      </c>
      <c r="W50">
        <v>1.5</v>
      </c>
      <c r="X50">
        <v>4.3</v>
      </c>
      <c r="Y50">
        <v>0</v>
      </c>
      <c r="Z50">
        <v>1.5</v>
      </c>
      <c r="AA50">
        <v>0</v>
      </c>
      <c r="AB50">
        <v>4.3</v>
      </c>
      <c r="AC50">
        <v>0</v>
      </c>
    </row>
    <row r="51" spans="1:29" x14ac:dyDescent="0.25">
      <c r="A51">
        <v>46</v>
      </c>
      <c r="B51" t="s">
        <v>779</v>
      </c>
      <c r="C51" t="s">
        <v>90</v>
      </c>
      <c r="D51" s="6">
        <f>MEDIAN(L51:AC51)</f>
        <v>1.6</v>
      </c>
      <c r="E51">
        <v>2.9</v>
      </c>
      <c r="F51">
        <v>48.5</v>
      </c>
      <c r="G51" s="3">
        <f t="shared" si="1"/>
        <v>1</v>
      </c>
      <c r="H51" s="3">
        <f t="shared" si="2"/>
        <v>0</v>
      </c>
      <c r="I51" s="3">
        <f t="shared" si="3"/>
        <v>0</v>
      </c>
      <c r="J51" s="3">
        <f t="shared" si="4"/>
        <v>0</v>
      </c>
      <c r="K51" s="3">
        <f t="shared" si="5"/>
        <v>17</v>
      </c>
      <c r="L51">
        <v>3.1</v>
      </c>
      <c r="M51">
        <v>0</v>
      </c>
      <c r="N51">
        <v>8.9</v>
      </c>
      <c r="O51">
        <v>0</v>
      </c>
      <c r="P51" t="s">
        <v>8</v>
      </c>
      <c r="Q51">
        <v>0</v>
      </c>
      <c r="R51">
        <v>6.5</v>
      </c>
      <c r="S51">
        <v>0</v>
      </c>
      <c r="T51">
        <v>11.3</v>
      </c>
      <c r="U51">
        <v>0</v>
      </c>
      <c r="V51">
        <v>1.6</v>
      </c>
      <c r="W51">
        <v>0</v>
      </c>
      <c r="X51">
        <v>1.6</v>
      </c>
      <c r="Y51">
        <v>1.4</v>
      </c>
      <c r="Z51">
        <v>1.7</v>
      </c>
      <c r="AA51">
        <v>0</v>
      </c>
      <c r="AB51">
        <v>7.8</v>
      </c>
      <c r="AC51">
        <v>4.5999999999999996</v>
      </c>
    </row>
    <row r="52" spans="1:29" x14ac:dyDescent="0.25">
      <c r="A52">
        <v>81</v>
      </c>
      <c r="B52" t="s">
        <v>786</v>
      </c>
      <c r="C52" t="s">
        <v>34</v>
      </c>
      <c r="E52">
        <v>2.8</v>
      </c>
      <c r="F52">
        <v>13.8</v>
      </c>
      <c r="G52" s="3">
        <f t="shared" si="1"/>
        <v>0</v>
      </c>
      <c r="H52" s="3">
        <f t="shared" si="2"/>
        <v>0</v>
      </c>
      <c r="I52" s="3">
        <f t="shared" si="3"/>
        <v>0</v>
      </c>
      <c r="J52" s="3">
        <f t="shared" si="4"/>
        <v>0</v>
      </c>
      <c r="K52" s="3">
        <f t="shared" si="5"/>
        <v>5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8</v>
      </c>
      <c r="R52">
        <v>0</v>
      </c>
      <c r="S52">
        <v>0</v>
      </c>
      <c r="T52" t="s">
        <v>8</v>
      </c>
      <c r="U52" t="s">
        <v>8</v>
      </c>
      <c r="V52" t="s">
        <v>7</v>
      </c>
      <c r="W52" t="s">
        <v>8</v>
      </c>
      <c r="X52" t="s">
        <v>8</v>
      </c>
      <c r="Y52" t="s">
        <v>8</v>
      </c>
      <c r="Z52" t="s">
        <v>8</v>
      </c>
      <c r="AA52">
        <v>0</v>
      </c>
      <c r="AB52">
        <v>8.1999999999999993</v>
      </c>
      <c r="AC52">
        <v>5.6</v>
      </c>
    </row>
    <row r="53" spans="1:29" x14ac:dyDescent="0.25">
      <c r="A53">
        <v>47</v>
      </c>
      <c r="B53" t="s">
        <v>726</v>
      </c>
      <c r="C53" t="s">
        <v>66</v>
      </c>
      <c r="D53" s="6">
        <f>MEDIAN(L53:AC53)</f>
        <v>2</v>
      </c>
      <c r="E53">
        <v>2.7</v>
      </c>
      <c r="F53">
        <v>45.2</v>
      </c>
      <c r="G53" s="3">
        <f t="shared" si="1"/>
        <v>1</v>
      </c>
      <c r="H53" s="3">
        <f t="shared" si="2"/>
        <v>0</v>
      </c>
      <c r="I53" s="3">
        <f t="shared" si="3"/>
        <v>0</v>
      </c>
      <c r="J53" s="3">
        <f t="shared" si="4"/>
        <v>0</v>
      </c>
      <c r="K53" s="3">
        <f t="shared" si="5"/>
        <v>17</v>
      </c>
      <c r="L53">
        <v>3.5</v>
      </c>
      <c r="M53">
        <v>3.2</v>
      </c>
      <c r="N53">
        <v>7.2</v>
      </c>
      <c r="O53">
        <v>3.5</v>
      </c>
      <c r="P53">
        <v>5.0999999999999996</v>
      </c>
      <c r="Q53" t="s">
        <v>8</v>
      </c>
      <c r="R53">
        <v>4.8</v>
      </c>
      <c r="S53">
        <v>2</v>
      </c>
      <c r="T53">
        <v>0</v>
      </c>
      <c r="U53">
        <v>0</v>
      </c>
      <c r="V53">
        <v>2.2999999999999998</v>
      </c>
      <c r="W53">
        <v>1.7</v>
      </c>
      <c r="X53">
        <v>10.199999999999999</v>
      </c>
      <c r="Y53">
        <v>0</v>
      </c>
      <c r="Z53">
        <v>0</v>
      </c>
      <c r="AA53">
        <v>0</v>
      </c>
      <c r="AB53">
        <v>1.7</v>
      </c>
      <c r="AC53">
        <v>0</v>
      </c>
    </row>
    <row r="54" spans="1:29" x14ac:dyDescent="0.25">
      <c r="A54">
        <v>48</v>
      </c>
      <c r="B54" t="s">
        <v>756</v>
      </c>
      <c r="C54" t="s">
        <v>78</v>
      </c>
      <c r="D54" s="6">
        <f>MEDIAN(L54:AC54)</f>
        <v>1.8</v>
      </c>
      <c r="E54">
        <v>2.6</v>
      </c>
      <c r="F54">
        <v>45</v>
      </c>
      <c r="G54" s="3">
        <f t="shared" si="1"/>
        <v>0</v>
      </c>
      <c r="H54" s="3">
        <f t="shared" si="2"/>
        <v>0</v>
      </c>
      <c r="I54" s="3">
        <f t="shared" si="3"/>
        <v>0</v>
      </c>
      <c r="J54" s="3">
        <f t="shared" si="4"/>
        <v>0</v>
      </c>
      <c r="K54" s="3">
        <f t="shared" si="5"/>
        <v>17</v>
      </c>
      <c r="L54">
        <v>1.5</v>
      </c>
      <c r="M54">
        <v>7.5</v>
      </c>
      <c r="N54">
        <v>0</v>
      </c>
      <c r="O54">
        <v>5.0999999999999996</v>
      </c>
      <c r="P54">
        <v>1.5</v>
      </c>
      <c r="Q54">
        <v>1.9</v>
      </c>
      <c r="R54">
        <v>7.6</v>
      </c>
      <c r="S54">
        <v>3.9</v>
      </c>
      <c r="T54" t="s">
        <v>7</v>
      </c>
      <c r="U54">
        <v>1.6</v>
      </c>
      <c r="V54">
        <v>6.2</v>
      </c>
      <c r="W54">
        <v>4.4000000000000004</v>
      </c>
      <c r="X54">
        <v>2</v>
      </c>
      <c r="Y54">
        <v>0</v>
      </c>
      <c r="Z54">
        <v>0</v>
      </c>
      <c r="AA54">
        <v>0</v>
      </c>
      <c r="AB54">
        <v>1.8</v>
      </c>
      <c r="AC54">
        <v>0</v>
      </c>
    </row>
    <row r="55" spans="1:29" x14ac:dyDescent="0.25">
      <c r="A55">
        <v>50</v>
      </c>
      <c r="B55" t="s">
        <v>769</v>
      </c>
      <c r="C55" t="s">
        <v>50</v>
      </c>
      <c r="D55" s="6">
        <f>MEDIAN(L55:AC55)</f>
        <v>1.6</v>
      </c>
      <c r="E55">
        <v>2.6</v>
      </c>
      <c r="F55">
        <v>43.5</v>
      </c>
      <c r="G55" s="3">
        <f t="shared" si="1"/>
        <v>0</v>
      </c>
      <c r="H55" s="3">
        <f t="shared" si="2"/>
        <v>0</v>
      </c>
      <c r="I55" s="3">
        <f t="shared" si="3"/>
        <v>0</v>
      </c>
      <c r="J55" s="3">
        <f t="shared" si="4"/>
        <v>0</v>
      </c>
      <c r="K55" s="3">
        <f t="shared" si="5"/>
        <v>17</v>
      </c>
      <c r="L55">
        <v>0</v>
      </c>
      <c r="M55">
        <v>0</v>
      </c>
      <c r="N55">
        <v>1.6</v>
      </c>
      <c r="O55">
        <v>1</v>
      </c>
      <c r="P55">
        <v>1.8</v>
      </c>
      <c r="Q55">
        <v>1.5</v>
      </c>
      <c r="R55">
        <v>0</v>
      </c>
      <c r="S55">
        <v>7.3</v>
      </c>
      <c r="T55">
        <v>0</v>
      </c>
      <c r="U55">
        <v>0</v>
      </c>
      <c r="V55">
        <v>8.1999999999999993</v>
      </c>
      <c r="W55">
        <v>0</v>
      </c>
      <c r="X55">
        <v>2.6</v>
      </c>
      <c r="Y55" t="s">
        <v>7</v>
      </c>
      <c r="Z55">
        <v>8.5</v>
      </c>
      <c r="AA55">
        <v>3.8</v>
      </c>
      <c r="AB55">
        <v>1.7</v>
      </c>
      <c r="AC55">
        <v>5.5</v>
      </c>
    </row>
    <row r="56" spans="1:29" x14ac:dyDescent="0.25">
      <c r="A56">
        <v>49</v>
      </c>
      <c r="B56" t="s">
        <v>714</v>
      </c>
      <c r="C56" t="s">
        <v>50</v>
      </c>
      <c r="D56" s="6">
        <f>MEDIAN(L56:AC56)</f>
        <v>1.3</v>
      </c>
      <c r="E56">
        <v>2.6</v>
      </c>
      <c r="F56">
        <v>43.8</v>
      </c>
      <c r="G56" s="3">
        <f t="shared" si="1"/>
        <v>2</v>
      </c>
      <c r="H56" s="3">
        <f t="shared" si="2"/>
        <v>1</v>
      </c>
      <c r="I56" s="3">
        <f t="shared" si="3"/>
        <v>0</v>
      </c>
      <c r="J56" s="3">
        <f t="shared" si="4"/>
        <v>0</v>
      </c>
      <c r="K56" s="3">
        <f t="shared" si="5"/>
        <v>17</v>
      </c>
      <c r="L56">
        <v>0</v>
      </c>
      <c r="M56">
        <v>0</v>
      </c>
      <c r="N56">
        <v>2.2999999999999998</v>
      </c>
      <c r="O56">
        <v>0</v>
      </c>
      <c r="P56">
        <v>2.9</v>
      </c>
      <c r="Q56">
        <v>0</v>
      </c>
      <c r="R56">
        <v>0</v>
      </c>
      <c r="S56">
        <v>18.5</v>
      </c>
      <c r="T56">
        <v>1.4</v>
      </c>
      <c r="U56">
        <v>4.4000000000000004</v>
      </c>
      <c r="V56">
        <v>0</v>
      </c>
      <c r="W56">
        <v>1.3</v>
      </c>
      <c r="X56">
        <v>0</v>
      </c>
      <c r="Y56" t="s">
        <v>7</v>
      </c>
      <c r="Z56">
        <v>10</v>
      </c>
      <c r="AA56">
        <v>1.5</v>
      </c>
      <c r="AB56">
        <v>1.5</v>
      </c>
      <c r="AC56">
        <v>0</v>
      </c>
    </row>
    <row r="57" spans="1:29" x14ac:dyDescent="0.25">
      <c r="A57">
        <v>59</v>
      </c>
      <c r="B57" t="s">
        <v>747</v>
      </c>
      <c r="C57" t="s">
        <v>50</v>
      </c>
      <c r="E57">
        <v>2.6</v>
      </c>
      <c r="F57">
        <v>34.200000000000003</v>
      </c>
      <c r="G57" s="3">
        <f t="shared" si="1"/>
        <v>0</v>
      </c>
      <c r="H57" s="3">
        <f t="shared" si="2"/>
        <v>0</v>
      </c>
      <c r="I57" s="3">
        <f t="shared" si="3"/>
        <v>0</v>
      </c>
      <c r="J57" s="3">
        <f t="shared" si="4"/>
        <v>0</v>
      </c>
      <c r="K57" s="3">
        <f t="shared" si="5"/>
        <v>13</v>
      </c>
      <c r="L57" t="s">
        <v>8</v>
      </c>
      <c r="M57" t="s">
        <v>8</v>
      </c>
      <c r="N57" t="s">
        <v>8</v>
      </c>
      <c r="O57" t="s">
        <v>8</v>
      </c>
      <c r="P57">
        <v>1.5</v>
      </c>
      <c r="Q57">
        <v>3.1</v>
      </c>
      <c r="R57">
        <v>7.1</v>
      </c>
      <c r="S57">
        <v>3.8</v>
      </c>
      <c r="T57">
        <v>0</v>
      </c>
      <c r="U57">
        <v>4.0999999999999996</v>
      </c>
      <c r="V57">
        <v>0</v>
      </c>
      <c r="W57">
        <v>0</v>
      </c>
      <c r="X57">
        <v>5.4</v>
      </c>
      <c r="Y57" t="s">
        <v>7</v>
      </c>
      <c r="Z57">
        <v>2.8</v>
      </c>
      <c r="AA57">
        <v>5.0999999999999996</v>
      </c>
      <c r="AB57">
        <v>1.3</v>
      </c>
      <c r="AC57">
        <v>0</v>
      </c>
    </row>
    <row r="58" spans="1:29" x14ac:dyDescent="0.25">
      <c r="A58">
        <v>56</v>
      </c>
      <c r="B58" t="s">
        <v>737</v>
      </c>
      <c r="C58" t="s">
        <v>40</v>
      </c>
      <c r="E58">
        <v>2.2999999999999998</v>
      </c>
      <c r="F58">
        <v>34.799999999999997</v>
      </c>
      <c r="G58" s="3">
        <f t="shared" si="1"/>
        <v>0</v>
      </c>
      <c r="H58" s="3">
        <f t="shared" si="2"/>
        <v>0</v>
      </c>
      <c r="I58" s="3">
        <f t="shared" si="3"/>
        <v>0</v>
      </c>
      <c r="J58" s="3">
        <f t="shared" si="4"/>
        <v>0</v>
      </c>
      <c r="K58" s="3">
        <f t="shared" si="5"/>
        <v>15</v>
      </c>
      <c r="L58">
        <v>0</v>
      </c>
      <c r="M58">
        <v>0</v>
      </c>
      <c r="N58">
        <v>0</v>
      </c>
      <c r="O58">
        <v>0</v>
      </c>
      <c r="P58" t="s">
        <v>8</v>
      </c>
      <c r="Q58">
        <v>2</v>
      </c>
      <c r="R58">
        <v>4.0999999999999996</v>
      </c>
      <c r="S58">
        <v>0</v>
      </c>
      <c r="T58" t="s">
        <v>8</v>
      </c>
      <c r="U58" t="s">
        <v>8</v>
      </c>
      <c r="V58">
        <v>0</v>
      </c>
      <c r="W58">
        <v>0</v>
      </c>
      <c r="X58">
        <v>1.3</v>
      </c>
      <c r="Y58">
        <v>8.4</v>
      </c>
      <c r="Z58">
        <v>8</v>
      </c>
      <c r="AA58">
        <v>6.7</v>
      </c>
      <c r="AB58">
        <v>4.3</v>
      </c>
      <c r="AC58">
        <v>0</v>
      </c>
    </row>
    <row r="59" spans="1:29" x14ac:dyDescent="0.25">
      <c r="A59">
        <v>58</v>
      </c>
      <c r="B59" t="s">
        <v>781</v>
      </c>
      <c r="C59" t="s">
        <v>32</v>
      </c>
      <c r="E59">
        <v>2.2999999999999998</v>
      </c>
      <c r="F59">
        <v>34.299999999999997</v>
      </c>
      <c r="G59" s="3">
        <f t="shared" si="1"/>
        <v>1</v>
      </c>
      <c r="H59" s="3">
        <f t="shared" si="2"/>
        <v>0</v>
      </c>
      <c r="I59" s="3">
        <f t="shared" si="3"/>
        <v>0</v>
      </c>
      <c r="J59" s="3">
        <f t="shared" si="4"/>
        <v>0</v>
      </c>
      <c r="K59" s="3">
        <f t="shared" si="5"/>
        <v>15</v>
      </c>
      <c r="L59">
        <v>0</v>
      </c>
      <c r="M59">
        <v>2.8</v>
      </c>
      <c r="N59">
        <v>0</v>
      </c>
      <c r="O59">
        <v>3.7</v>
      </c>
      <c r="P59">
        <v>2.6</v>
      </c>
      <c r="Q59">
        <v>0</v>
      </c>
      <c r="R59">
        <v>2.5</v>
      </c>
      <c r="S59">
        <v>3.9</v>
      </c>
      <c r="T59">
        <v>0</v>
      </c>
      <c r="U59">
        <v>1.2</v>
      </c>
      <c r="V59">
        <v>3.5</v>
      </c>
      <c r="W59">
        <v>11.6</v>
      </c>
      <c r="X59">
        <v>1.4</v>
      </c>
      <c r="Y59" t="s">
        <v>7</v>
      </c>
      <c r="Z59" t="s">
        <v>8</v>
      </c>
      <c r="AA59" t="s">
        <v>8</v>
      </c>
      <c r="AB59">
        <v>1.1000000000000001</v>
      </c>
      <c r="AC59">
        <v>0</v>
      </c>
    </row>
    <row r="60" spans="1:29" x14ac:dyDescent="0.25">
      <c r="A60">
        <v>57</v>
      </c>
      <c r="B60" t="s">
        <v>761</v>
      </c>
      <c r="C60" t="s">
        <v>34</v>
      </c>
      <c r="E60">
        <v>2.2000000000000002</v>
      </c>
      <c r="F60">
        <v>34.5</v>
      </c>
      <c r="G60" s="3">
        <f t="shared" si="1"/>
        <v>1</v>
      </c>
      <c r="H60" s="3">
        <f t="shared" si="2"/>
        <v>0</v>
      </c>
      <c r="I60" s="3">
        <f t="shared" si="3"/>
        <v>0</v>
      </c>
      <c r="J60" s="3">
        <f t="shared" si="4"/>
        <v>0</v>
      </c>
      <c r="K60" s="3">
        <f t="shared" si="5"/>
        <v>16</v>
      </c>
      <c r="L60">
        <v>0</v>
      </c>
      <c r="M60">
        <v>0</v>
      </c>
      <c r="N60">
        <v>1.8</v>
      </c>
      <c r="O60">
        <v>0</v>
      </c>
      <c r="P60">
        <v>0</v>
      </c>
      <c r="Q60">
        <v>0</v>
      </c>
      <c r="R60" t="s">
        <v>8</v>
      </c>
      <c r="S60">
        <v>0</v>
      </c>
      <c r="T60">
        <v>0</v>
      </c>
      <c r="U60">
        <v>0</v>
      </c>
      <c r="V60" t="s">
        <v>7</v>
      </c>
      <c r="W60">
        <v>3.6</v>
      </c>
      <c r="X60">
        <v>0</v>
      </c>
      <c r="Y60">
        <v>0</v>
      </c>
      <c r="Z60">
        <v>0</v>
      </c>
      <c r="AA60">
        <v>7.9</v>
      </c>
      <c r="AB60">
        <v>11.6</v>
      </c>
      <c r="AC60">
        <v>9.6</v>
      </c>
    </row>
    <row r="61" spans="1:29" x14ac:dyDescent="0.25">
      <c r="A61">
        <v>63</v>
      </c>
      <c r="B61" t="s">
        <v>750</v>
      </c>
      <c r="C61" t="s">
        <v>12</v>
      </c>
      <c r="E61">
        <v>2.2000000000000002</v>
      </c>
      <c r="F61">
        <v>28.3</v>
      </c>
      <c r="G61" s="3">
        <f t="shared" si="1"/>
        <v>1</v>
      </c>
      <c r="H61" s="3">
        <f t="shared" si="2"/>
        <v>1</v>
      </c>
      <c r="I61" s="3">
        <f t="shared" si="3"/>
        <v>0</v>
      </c>
      <c r="J61" s="3">
        <f t="shared" si="4"/>
        <v>0</v>
      </c>
      <c r="K61" s="3">
        <f t="shared" si="5"/>
        <v>13</v>
      </c>
      <c r="L61">
        <v>0</v>
      </c>
      <c r="M61">
        <v>1.4</v>
      </c>
      <c r="N61">
        <v>4</v>
      </c>
      <c r="O61">
        <v>0</v>
      </c>
      <c r="P61">
        <v>15.6</v>
      </c>
      <c r="Q61">
        <v>0</v>
      </c>
      <c r="R61">
        <v>2.4</v>
      </c>
      <c r="S61">
        <v>1.9</v>
      </c>
      <c r="T61">
        <v>0</v>
      </c>
      <c r="U61">
        <v>1.4</v>
      </c>
      <c r="V61">
        <v>0</v>
      </c>
      <c r="W61">
        <v>1.6</v>
      </c>
      <c r="X61" t="s">
        <v>8</v>
      </c>
      <c r="Y61" t="s">
        <v>7</v>
      </c>
      <c r="Z61" t="s">
        <v>8</v>
      </c>
      <c r="AA61" t="s">
        <v>8</v>
      </c>
      <c r="AB61" t="s">
        <v>8</v>
      </c>
      <c r="AC61">
        <v>0</v>
      </c>
    </row>
    <row r="62" spans="1:29" x14ac:dyDescent="0.25">
      <c r="A62">
        <v>53</v>
      </c>
      <c r="B62" t="s">
        <v>720</v>
      </c>
      <c r="C62" t="s">
        <v>30</v>
      </c>
      <c r="E62">
        <v>2.1</v>
      </c>
      <c r="F62">
        <v>36.5</v>
      </c>
      <c r="G62" s="3">
        <f t="shared" si="1"/>
        <v>1</v>
      </c>
      <c r="H62" s="3">
        <f t="shared" si="2"/>
        <v>0</v>
      </c>
      <c r="I62" s="3">
        <f t="shared" si="3"/>
        <v>0</v>
      </c>
      <c r="J62" s="3">
        <f t="shared" si="4"/>
        <v>0</v>
      </c>
      <c r="K62" s="3">
        <f t="shared" si="5"/>
        <v>17</v>
      </c>
      <c r="L62">
        <v>0</v>
      </c>
      <c r="M62">
        <v>5.8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11.4</v>
      </c>
      <c r="U62">
        <v>0</v>
      </c>
      <c r="V62">
        <v>1.5</v>
      </c>
      <c r="W62" t="s">
        <v>7</v>
      </c>
      <c r="X62">
        <v>2.8</v>
      </c>
      <c r="Y62">
        <v>3.3</v>
      </c>
      <c r="Z62">
        <v>1.8</v>
      </c>
      <c r="AA62">
        <v>2.2000000000000002</v>
      </c>
      <c r="AB62">
        <v>1.3</v>
      </c>
      <c r="AC62">
        <v>5.4</v>
      </c>
    </row>
    <row r="63" spans="1:29" x14ac:dyDescent="0.25">
      <c r="A63">
        <v>55</v>
      </c>
      <c r="B63" t="s">
        <v>741</v>
      </c>
      <c r="C63" t="s">
        <v>10</v>
      </c>
      <c r="E63">
        <v>2.1</v>
      </c>
      <c r="F63">
        <v>35</v>
      </c>
      <c r="G63" s="3">
        <f t="shared" si="1"/>
        <v>0</v>
      </c>
      <c r="H63" s="3">
        <f t="shared" si="2"/>
        <v>0</v>
      </c>
      <c r="I63" s="3">
        <f t="shared" si="3"/>
        <v>0</v>
      </c>
      <c r="J63" s="3">
        <f t="shared" si="4"/>
        <v>0</v>
      </c>
      <c r="K63" s="3">
        <f t="shared" si="5"/>
        <v>17</v>
      </c>
      <c r="L63">
        <v>1.2</v>
      </c>
      <c r="M63">
        <v>0</v>
      </c>
      <c r="N63">
        <v>7.4</v>
      </c>
      <c r="O63">
        <v>3.3</v>
      </c>
      <c r="P63" t="s">
        <v>7</v>
      </c>
      <c r="Q63">
        <v>0</v>
      </c>
      <c r="R63">
        <v>0</v>
      </c>
      <c r="S63">
        <v>7.8</v>
      </c>
      <c r="T63">
        <v>1.1000000000000001</v>
      </c>
      <c r="U63">
        <v>0</v>
      </c>
      <c r="V63">
        <v>7.5</v>
      </c>
      <c r="W63">
        <v>4.4000000000000004</v>
      </c>
      <c r="X63">
        <v>2.2999999999999998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>
        <v>60</v>
      </c>
      <c r="B64" t="s">
        <v>721</v>
      </c>
      <c r="C64" t="s">
        <v>24</v>
      </c>
      <c r="E64">
        <v>1.9</v>
      </c>
      <c r="F64">
        <v>32.700000000000003</v>
      </c>
      <c r="G64" s="3">
        <f t="shared" si="1"/>
        <v>1</v>
      </c>
      <c r="H64" s="3">
        <f t="shared" si="2"/>
        <v>0</v>
      </c>
      <c r="I64" s="3">
        <f t="shared" si="3"/>
        <v>0</v>
      </c>
      <c r="J64" s="3">
        <f t="shared" si="4"/>
        <v>0</v>
      </c>
      <c r="K64" s="3">
        <f t="shared" si="5"/>
        <v>17</v>
      </c>
      <c r="L64">
        <v>0</v>
      </c>
      <c r="M64">
        <v>3.2</v>
      </c>
      <c r="N64">
        <v>0</v>
      </c>
      <c r="O64">
        <v>0</v>
      </c>
      <c r="P64">
        <v>11.7</v>
      </c>
      <c r="Q64">
        <v>8.1</v>
      </c>
      <c r="R64">
        <v>0</v>
      </c>
      <c r="S64">
        <v>0</v>
      </c>
      <c r="T64">
        <v>0</v>
      </c>
      <c r="U64">
        <v>0</v>
      </c>
      <c r="V64">
        <v>3.7</v>
      </c>
      <c r="W64">
        <v>0</v>
      </c>
      <c r="X64">
        <v>3.5</v>
      </c>
      <c r="Y64" t="s">
        <v>7</v>
      </c>
      <c r="Z64">
        <v>0</v>
      </c>
      <c r="AA64">
        <v>2.5</v>
      </c>
      <c r="AB64">
        <v>0</v>
      </c>
      <c r="AC64">
        <v>0</v>
      </c>
    </row>
    <row r="65" spans="1:29" x14ac:dyDescent="0.25">
      <c r="A65">
        <v>61</v>
      </c>
      <c r="B65" t="s">
        <v>707</v>
      </c>
      <c r="C65" t="s">
        <v>6</v>
      </c>
      <c r="E65">
        <v>1.9</v>
      </c>
      <c r="F65">
        <v>32.200000000000003</v>
      </c>
      <c r="G65" s="3">
        <f t="shared" si="1"/>
        <v>0</v>
      </c>
      <c r="H65" s="3">
        <f t="shared" si="2"/>
        <v>0</v>
      </c>
      <c r="I65" s="3">
        <f t="shared" si="3"/>
        <v>0</v>
      </c>
      <c r="J65" s="3">
        <f t="shared" si="4"/>
        <v>0</v>
      </c>
      <c r="K65" s="3">
        <f t="shared" si="5"/>
        <v>17</v>
      </c>
      <c r="L65">
        <v>0</v>
      </c>
      <c r="M65">
        <v>1.9</v>
      </c>
      <c r="N65">
        <v>5</v>
      </c>
      <c r="O65">
        <v>0</v>
      </c>
      <c r="P65">
        <v>0</v>
      </c>
      <c r="Q65">
        <v>0</v>
      </c>
      <c r="R65">
        <v>0</v>
      </c>
      <c r="S65">
        <v>1.4</v>
      </c>
      <c r="T65">
        <v>3.2</v>
      </c>
      <c r="U65">
        <v>3.5</v>
      </c>
      <c r="V65">
        <v>1.4</v>
      </c>
      <c r="W65">
        <v>0</v>
      </c>
      <c r="X65">
        <v>0</v>
      </c>
      <c r="Y65" t="s">
        <v>8</v>
      </c>
      <c r="Z65">
        <v>7.7</v>
      </c>
      <c r="AA65">
        <v>0</v>
      </c>
      <c r="AB65">
        <v>6.4</v>
      </c>
      <c r="AC65">
        <v>1.7</v>
      </c>
    </row>
    <row r="66" spans="1:29" x14ac:dyDescent="0.25">
      <c r="A66">
        <v>62</v>
      </c>
      <c r="B66" t="s">
        <v>738</v>
      </c>
      <c r="C66" t="s">
        <v>40</v>
      </c>
      <c r="E66">
        <v>1.7</v>
      </c>
      <c r="F66">
        <v>28.5</v>
      </c>
      <c r="G66" s="3">
        <f t="shared" ref="G66:G129" si="7">COUNTIFS(L66:AC66,"&gt;=10",L66:AC66,"&lt;=99")</f>
        <v>0</v>
      </c>
      <c r="H66" s="3">
        <f t="shared" ref="H66:H129" si="8">COUNTIFS(L66:AC66,"&gt;=15",L66:AC66,"&lt;=99")</f>
        <v>0</v>
      </c>
      <c r="I66" s="3">
        <f t="shared" ref="I66:I129" si="9">COUNTIFS(L66:AC66,"&gt;=20",L66:AC66,"&lt;=99")</f>
        <v>0</v>
      </c>
      <c r="J66" s="3">
        <f t="shared" ref="J66:J129" si="10">COUNTIFS(L66:AC66,"&gt;=30",L66:AC66,"&lt;=99")</f>
        <v>0</v>
      </c>
      <c r="K66" s="3">
        <f t="shared" ref="K66:K129" si="11">COUNT(L66:AC66)</f>
        <v>17</v>
      </c>
      <c r="L66">
        <v>0</v>
      </c>
      <c r="M66">
        <v>0</v>
      </c>
      <c r="N66">
        <v>3.5</v>
      </c>
      <c r="O66">
        <v>3</v>
      </c>
      <c r="P66">
        <v>0</v>
      </c>
      <c r="Q66">
        <v>2.7</v>
      </c>
      <c r="R66">
        <v>0</v>
      </c>
      <c r="S66">
        <v>4.4000000000000004</v>
      </c>
      <c r="T66">
        <v>1.4</v>
      </c>
      <c r="U66">
        <v>3.7</v>
      </c>
      <c r="V66">
        <v>1.6</v>
      </c>
      <c r="W66" t="s">
        <v>7</v>
      </c>
      <c r="X66">
        <v>1.3</v>
      </c>
      <c r="Y66">
        <v>0</v>
      </c>
      <c r="Z66">
        <v>2.2000000000000002</v>
      </c>
      <c r="AA66">
        <v>3.2</v>
      </c>
      <c r="AB66">
        <v>0</v>
      </c>
      <c r="AC66">
        <v>1.5</v>
      </c>
    </row>
    <row r="67" spans="1:29" x14ac:dyDescent="0.25">
      <c r="A67">
        <v>75</v>
      </c>
      <c r="B67" t="s">
        <v>773</v>
      </c>
      <c r="C67" t="s">
        <v>10</v>
      </c>
      <c r="E67">
        <v>1.7</v>
      </c>
      <c r="F67">
        <v>15.7</v>
      </c>
      <c r="G67" s="3">
        <f t="shared" si="7"/>
        <v>0</v>
      </c>
      <c r="H67" s="3">
        <f t="shared" si="8"/>
        <v>0</v>
      </c>
      <c r="I67" s="3">
        <f t="shared" si="9"/>
        <v>0</v>
      </c>
      <c r="J67" s="3">
        <f t="shared" si="10"/>
        <v>0</v>
      </c>
      <c r="K67" s="3">
        <f t="shared" si="11"/>
        <v>9</v>
      </c>
      <c r="L67" t="s">
        <v>8</v>
      </c>
      <c r="M67" t="s">
        <v>8</v>
      </c>
      <c r="N67" t="s">
        <v>8</v>
      </c>
      <c r="O67" t="s">
        <v>8</v>
      </c>
      <c r="P67" t="s">
        <v>7</v>
      </c>
      <c r="Q67" t="s">
        <v>8</v>
      </c>
      <c r="R67" t="s">
        <v>8</v>
      </c>
      <c r="S67" t="s">
        <v>8</v>
      </c>
      <c r="T67">
        <v>2.2000000000000002</v>
      </c>
      <c r="U67">
        <v>1.4</v>
      </c>
      <c r="V67">
        <v>8.1</v>
      </c>
      <c r="W67" t="s">
        <v>8</v>
      </c>
      <c r="X67">
        <v>0</v>
      </c>
      <c r="Y67">
        <v>0</v>
      </c>
      <c r="Z67">
        <v>0</v>
      </c>
      <c r="AA67">
        <v>0</v>
      </c>
      <c r="AB67">
        <v>0</v>
      </c>
      <c r="AC67">
        <v>4</v>
      </c>
    </row>
    <row r="68" spans="1:29" x14ac:dyDescent="0.25">
      <c r="A68">
        <v>76</v>
      </c>
      <c r="B68" t="s">
        <v>724</v>
      </c>
      <c r="C68" t="s">
        <v>90</v>
      </c>
      <c r="E68">
        <v>1.7</v>
      </c>
      <c r="F68">
        <v>15.3</v>
      </c>
      <c r="G68" s="3">
        <f t="shared" si="7"/>
        <v>0</v>
      </c>
      <c r="H68" s="3">
        <f t="shared" si="8"/>
        <v>0</v>
      </c>
      <c r="I68" s="3">
        <f t="shared" si="9"/>
        <v>0</v>
      </c>
      <c r="J68" s="3">
        <f t="shared" si="10"/>
        <v>0</v>
      </c>
      <c r="K68" s="3">
        <f t="shared" si="11"/>
        <v>9</v>
      </c>
      <c r="L68">
        <v>5.3</v>
      </c>
      <c r="M68">
        <v>1.5</v>
      </c>
      <c r="N68">
        <v>3.5</v>
      </c>
      <c r="O68">
        <v>1.6</v>
      </c>
      <c r="P68" t="s">
        <v>8</v>
      </c>
      <c r="Q68">
        <v>0</v>
      </c>
      <c r="R68" t="s">
        <v>8</v>
      </c>
      <c r="S68" t="s">
        <v>8</v>
      </c>
      <c r="T68">
        <v>1.6</v>
      </c>
      <c r="U68">
        <v>0</v>
      </c>
      <c r="V68" t="s">
        <v>8</v>
      </c>
      <c r="W68" t="s">
        <v>8</v>
      </c>
      <c r="X68" t="s">
        <v>8</v>
      </c>
      <c r="Y68" t="s">
        <v>8</v>
      </c>
      <c r="Z68" t="s">
        <v>8</v>
      </c>
      <c r="AA68">
        <v>1.8</v>
      </c>
      <c r="AB68" t="s">
        <v>8</v>
      </c>
      <c r="AC68">
        <v>0</v>
      </c>
    </row>
    <row r="69" spans="1:29" x14ac:dyDescent="0.25">
      <c r="A69">
        <v>64</v>
      </c>
      <c r="B69" t="s">
        <v>782</v>
      </c>
      <c r="C69" t="s">
        <v>53</v>
      </c>
      <c r="E69">
        <v>1.6</v>
      </c>
      <c r="F69">
        <v>26.7</v>
      </c>
      <c r="G69" s="3">
        <f t="shared" si="7"/>
        <v>0</v>
      </c>
      <c r="H69" s="3">
        <f t="shared" si="8"/>
        <v>0</v>
      </c>
      <c r="I69" s="3">
        <f t="shared" si="9"/>
        <v>0</v>
      </c>
      <c r="J69" s="3">
        <f t="shared" si="10"/>
        <v>0</v>
      </c>
      <c r="K69" s="3">
        <f t="shared" si="11"/>
        <v>17</v>
      </c>
      <c r="L69">
        <v>0</v>
      </c>
      <c r="M69">
        <v>4.5999999999999996</v>
      </c>
      <c r="N69">
        <v>6.1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8</v>
      </c>
      <c r="U69">
        <v>0</v>
      </c>
      <c r="V69">
        <v>1.7</v>
      </c>
      <c r="W69">
        <v>0</v>
      </c>
      <c r="X69">
        <v>0</v>
      </c>
      <c r="Y69">
        <v>1.4</v>
      </c>
      <c r="Z69">
        <v>0</v>
      </c>
      <c r="AA69">
        <v>7.2</v>
      </c>
      <c r="AB69">
        <v>0</v>
      </c>
      <c r="AC69">
        <v>5.7</v>
      </c>
    </row>
    <row r="70" spans="1:29" x14ac:dyDescent="0.25">
      <c r="A70">
        <v>66</v>
      </c>
      <c r="B70" t="s">
        <v>719</v>
      </c>
      <c r="C70" t="s">
        <v>55</v>
      </c>
      <c r="E70">
        <v>1.6</v>
      </c>
      <c r="F70">
        <v>26.5</v>
      </c>
      <c r="G70" s="3">
        <f t="shared" si="7"/>
        <v>0</v>
      </c>
      <c r="H70" s="3">
        <f t="shared" si="8"/>
        <v>0</v>
      </c>
      <c r="I70" s="3">
        <f t="shared" si="9"/>
        <v>0</v>
      </c>
      <c r="J70" s="3">
        <f t="shared" si="10"/>
        <v>0</v>
      </c>
      <c r="K70" s="3">
        <f t="shared" si="11"/>
        <v>17</v>
      </c>
      <c r="L70">
        <v>1.3</v>
      </c>
      <c r="M70">
        <v>0</v>
      </c>
      <c r="N70">
        <v>2.7</v>
      </c>
      <c r="O70">
        <v>0</v>
      </c>
      <c r="P70">
        <v>0</v>
      </c>
      <c r="Q70">
        <v>0</v>
      </c>
      <c r="R70">
        <v>2.1</v>
      </c>
      <c r="S70">
        <v>0</v>
      </c>
      <c r="T70">
        <v>0</v>
      </c>
      <c r="U70">
        <v>0</v>
      </c>
      <c r="V70" t="s">
        <v>7</v>
      </c>
      <c r="W70">
        <v>0</v>
      </c>
      <c r="X70">
        <v>0</v>
      </c>
      <c r="Y70">
        <v>9.5</v>
      </c>
      <c r="Z70">
        <v>6.5</v>
      </c>
      <c r="AA70">
        <v>1.5</v>
      </c>
      <c r="AB70">
        <v>0</v>
      </c>
      <c r="AC70">
        <v>2.9</v>
      </c>
    </row>
    <row r="71" spans="1:29" x14ac:dyDescent="0.25">
      <c r="A71">
        <v>72</v>
      </c>
      <c r="B71" t="s">
        <v>784</v>
      </c>
      <c r="C71" t="s">
        <v>69</v>
      </c>
      <c r="E71">
        <v>1.6</v>
      </c>
      <c r="F71">
        <v>17.100000000000001</v>
      </c>
      <c r="G71" s="3">
        <f t="shared" si="7"/>
        <v>1</v>
      </c>
      <c r="H71" s="3">
        <f t="shared" si="8"/>
        <v>0</v>
      </c>
      <c r="I71" s="3">
        <f t="shared" si="9"/>
        <v>0</v>
      </c>
      <c r="J71" s="3">
        <f t="shared" si="10"/>
        <v>0</v>
      </c>
      <c r="K71" s="3">
        <f t="shared" si="11"/>
        <v>11</v>
      </c>
      <c r="L71" t="s">
        <v>8</v>
      </c>
      <c r="M71">
        <v>0</v>
      </c>
      <c r="N71">
        <v>0</v>
      </c>
      <c r="O71">
        <v>10.3</v>
      </c>
      <c r="P71">
        <v>0</v>
      </c>
      <c r="Q71" t="s">
        <v>8</v>
      </c>
      <c r="R71" t="s">
        <v>8</v>
      </c>
      <c r="S71" t="s">
        <v>8</v>
      </c>
      <c r="T71" t="s">
        <v>8</v>
      </c>
      <c r="U71" t="s">
        <v>7</v>
      </c>
      <c r="V71" t="s">
        <v>8</v>
      </c>
      <c r="W71">
        <v>3.9</v>
      </c>
      <c r="X71">
        <v>0</v>
      </c>
      <c r="Y71">
        <v>0</v>
      </c>
      <c r="Z71">
        <v>0</v>
      </c>
      <c r="AA71">
        <v>0</v>
      </c>
      <c r="AB71">
        <v>1.8</v>
      </c>
      <c r="AC71">
        <v>1.1000000000000001</v>
      </c>
    </row>
    <row r="72" spans="1:29" x14ac:dyDescent="0.25">
      <c r="A72">
        <v>87</v>
      </c>
      <c r="B72" t="s">
        <v>705</v>
      </c>
      <c r="C72" t="s">
        <v>16</v>
      </c>
      <c r="E72">
        <v>1.6</v>
      </c>
      <c r="F72">
        <v>11.5</v>
      </c>
      <c r="G72" s="3">
        <f t="shared" si="7"/>
        <v>0</v>
      </c>
      <c r="H72" s="3">
        <f t="shared" si="8"/>
        <v>0</v>
      </c>
      <c r="I72" s="3">
        <f t="shared" si="9"/>
        <v>0</v>
      </c>
      <c r="J72" s="3">
        <f t="shared" si="10"/>
        <v>0</v>
      </c>
      <c r="K72" s="3">
        <f t="shared" si="11"/>
        <v>7</v>
      </c>
      <c r="L72">
        <v>0</v>
      </c>
      <c r="M72">
        <v>1.6</v>
      </c>
      <c r="N72">
        <v>1.3</v>
      </c>
      <c r="O72">
        <v>4.3</v>
      </c>
      <c r="P72" t="s">
        <v>8</v>
      </c>
      <c r="Q72" t="s">
        <v>8</v>
      </c>
      <c r="R72" t="s">
        <v>8</v>
      </c>
      <c r="S72" t="s">
        <v>8</v>
      </c>
      <c r="T72" t="s">
        <v>8</v>
      </c>
      <c r="U72" t="s">
        <v>7</v>
      </c>
      <c r="V72" t="s">
        <v>8</v>
      </c>
      <c r="W72" t="s">
        <v>8</v>
      </c>
      <c r="X72" t="s">
        <v>8</v>
      </c>
      <c r="Y72" t="s">
        <v>8</v>
      </c>
      <c r="Z72" t="s">
        <v>8</v>
      </c>
      <c r="AA72">
        <v>0</v>
      </c>
      <c r="AB72">
        <v>1.4</v>
      </c>
      <c r="AC72">
        <v>2.9</v>
      </c>
    </row>
    <row r="73" spans="1:29" x14ac:dyDescent="0.25">
      <c r="A73">
        <v>67</v>
      </c>
      <c r="B73" t="s">
        <v>733</v>
      </c>
      <c r="C73" t="s">
        <v>24</v>
      </c>
      <c r="E73">
        <v>1.5</v>
      </c>
      <c r="F73">
        <v>25.9</v>
      </c>
      <c r="G73" s="3">
        <f t="shared" si="7"/>
        <v>0</v>
      </c>
      <c r="H73" s="3">
        <f t="shared" si="8"/>
        <v>0</v>
      </c>
      <c r="I73" s="3">
        <f t="shared" si="9"/>
        <v>0</v>
      </c>
      <c r="J73" s="3">
        <f t="shared" si="10"/>
        <v>0</v>
      </c>
      <c r="K73" s="3">
        <f t="shared" si="11"/>
        <v>17</v>
      </c>
      <c r="L73">
        <v>0</v>
      </c>
      <c r="M73">
        <v>2.2000000000000002</v>
      </c>
      <c r="N73">
        <v>0</v>
      </c>
      <c r="O73">
        <v>8.5</v>
      </c>
      <c r="P73">
        <v>1.5</v>
      </c>
      <c r="Q73">
        <v>4.4000000000000004</v>
      </c>
      <c r="R73">
        <v>0</v>
      </c>
      <c r="S73">
        <v>0</v>
      </c>
      <c r="T73">
        <v>0</v>
      </c>
      <c r="U73">
        <v>1.2</v>
      </c>
      <c r="V73">
        <v>1.8</v>
      </c>
      <c r="W73">
        <v>0</v>
      </c>
      <c r="X73">
        <v>3.2</v>
      </c>
      <c r="Y73" t="s">
        <v>7</v>
      </c>
      <c r="Z73">
        <v>0</v>
      </c>
      <c r="AA73">
        <v>0</v>
      </c>
      <c r="AB73">
        <v>0</v>
      </c>
      <c r="AC73">
        <v>3.1</v>
      </c>
    </row>
    <row r="74" spans="1:29" x14ac:dyDescent="0.25">
      <c r="A74">
        <v>68</v>
      </c>
      <c r="B74" t="s">
        <v>765</v>
      </c>
      <c r="C74" t="s">
        <v>18</v>
      </c>
      <c r="E74">
        <v>1.4</v>
      </c>
      <c r="F74">
        <v>22</v>
      </c>
      <c r="G74" s="3">
        <f t="shared" si="7"/>
        <v>0</v>
      </c>
      <c r="H74" s="3">
        <f t="shared" si="8"/>
        <v>0</v>
      </c>
      <c r="I74" s="3">
        <f t="shared" si="9"/>
        <v>0</v>
      </c>
      <c r="J74" s="3">
        <f t="shared" si="10"/>
        <v>0</v>
      </c>
      <c r="K74" s="3">
        <f t="shared" si="11"/>
        <v>16</v>
      </c>
      <c r="L74">
        <v>1.6</v>
      </c>
      <c r="M74">
        <v>0</v>
      </c>
      <c r="N74">
        <v>4.4000000000000004</v>
      </c>
      <c r="O74">
        <v>0</v>
      </c>
      <c r="P74">
        <v>0</v>
      </c>
      <c r="Q74" t="s">
        <v>7</v>
      </c>
      <c r="R74">
        <v>1.4</v>
      </c>
      <c r="S74">
        <v>4.0999999999999996</v>
      </c>
      <c r="T74" t="s">
        <v>8</v>
      </c>
      <c r="U74">
        <v>0</v>
      </c>
      <c r="V74">
        <v>4.8</v>
      </c>
      <c r="W74">
        <v>1.8</v>
      </c>
      <c r="X74">
        <v>1.5</v>
      </c>
      <c r="Y74">
        <v>2.4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>
        <v>71</v>
      </c>
      <c r="B75" t="s">
        <v>730</v>
      </c>
      <c r="C75" t="s">
        <v>6</v>
      </c>
      <c r="E75">
        <v>1.4</v>
      </c>
      <c r="F75">
        <v>17.600000000000001</v>
      </c>
      <c r="G75" s="3">
        <f t="shared" si="7"/>
        <v>0</v>
      </c>
      <c r="H75" s="3">
        <f t="shared" si="8"/>
        <v>0</v>
      </c>
      <c r="I75" s="3">
        <f t="shared" si="9"/>
        <v>0</v>
      </c>
      <c r="J75" s="3">
        <f t="shared" si="10"/>
        <v>0</v>
      </c>
      <c r="K75" s="3">
        <f t="shared" si="11"/>
        <v>13</v>
      </c>
      <c r="L75">
        <v>0</v>
      </c>
      <c r="M75">
        <v>0</v>
      </c>
      <c r="N75">
        <v>0</v>
      </c>
      <c r="O75">
        <v>4.0999999999999996</v>
      </c>
      <c r="P75">
        <v>0</v>
      </c>
      <c r="Q75">
        <v>5.4</v>
      </c>
      <c r="R75">
        <v>3.9</v>
      </c>
      <c r="S75" t="s">
        <v>8</v>
      </c>
      <c r="T75">
        <v>4.2</v>
      </c>
      <c r="U75" t="s">
        <v>8</v>
      </c>
      <c r="V75" t="s">
        <v>8</v>
      </c>
      <c r="W75" t="s">
        <v>8</v>
      </c>
      <c r="X75" t="s">
        <v>8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>
        <v>89</v>
      </c>
      <c r="B76" t="s">
        <v>767</v>
      </c>
      <c r="C76" t="s">
        <v>90</v>
      </c>
      <c r="E76">
        <v>1.4</v>
      </c>
      <c r="F76">
        <v>10.1</v>
      </c>
      <c r="G76" s="3">
        <f t="shared" si="7"/>
        <v>0</v>
      </c>
      <c r="H76" s="3">
        <f t="shared" si="8"/>
        <v>0</v>
      </c>
      <c r="I76" s="3">
        <f t="shared" si="9"/>
        <v>0</v>
      </c>
      <c r="J76" s="3">
        <f t="shared" si="10"/>
        <v>0</v>
      </c>
      <c r="K76" s="3">
        <f t="shared" si="11"/>
        <v>7</v>
      </c>
      <c r="L76" t="s">
        <v>8</v>
      </c>
      <c r="M76">
        <v>0</v>
      </c>
      <c r="N76" t="s">
        <v>8</v>
      </c>
      <c r="O76" t="s">
        <v>8</v>
      </c>
      <c r="P76" t="s">
        <v>8</v>
      </c>
      <c r="Q76" t="s">
        <v>8</v>
      </c>
      <c r="R76" t="s">
        <v>8</v>
      </c>
      <c r="S76" t="s">
        <v>8</v>
      </c>
      <c r="T76">
        <v>1.9</v>
      </c>
      <c r="U76">
        <v>1.6</v>
      </c>
      <c r="V76">
        <v>2.1</v>
      </c>
      <c r="W76">
        <v>0</v>
      </c>
      <c r="X76" t="s">
        <v>8</v>
      </c>
      <c r="Y76" t="s">
        <v>8</v>
      </c>
      <c r="Z76" t="s">
        <v>8</v>
      </c>
      <c r="AA76" t="s">
        <v>8</v>
      </c>
      <c r="AB76">
        <v>0</v>
      </c>
      <c r="AC76">
        <v>4.5</v>
      </c>
    </row>
    <row r="77" spans="1:29" x14ac:dyDescent="0.25">
      <c r="A77">
        <v>105</v>
      </c>
      <c r="B77" t="s">
        <v>718</v>
      </c>
      <c r="C77" t="s">
        <v>32</v>
      </c>
      <c r="E77">
        <v>1.4</v>
      </c>
      <c r="F77">
        <v>2.7</v>
      </c>
      <c r="G77" s="3">
        <f t="shared" si="7"/>
        <v>0</v>
      </c>
      <c r="H77" s="3">
        <f t="shared" si="8"/>
        <v>0</v>
      </c>
      <c r="I77" s="3">
        <f t="shared" si="9"/>
        <v>0</v>
      </c>
      <c r="J77" s="3">
        <f t="shared" si="10"/>
        <v>0</v>
      </c>
      <c r="K77" s="3">
        <f t="shared" si="11"/>
        <v>2</v>
      </c>
      <c r="L77">
        <v>1.3</v>
      </c>
      <c r="M77">
        <v>1.4</v>
      </c>
      <c r="N77" t="s">
        <v>8</v>
      </c>
      <c r="O77" t="s">
        <v>8</v>
      </c>
      <c r="P77" t="s">
        <v>8</v>
      </c>
      <c r="Q77" t="s">
        <v>8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 t="s">
        <v>8</v>
      </c>
      <c r="X77" t="s">
        <v>8</v>
      </c>
      <c r="Y77" t="s">
        <v>7</v>
      </c>
      <c r="Z77" t="s">
        <v>8</v>
      </c>
      <c r="AA77" t="s">
        <v>8</v>
      </c>
      <c r="AB77" t="s">
        <v>8</v>
      </c>
      <c r="AC77" t="s">
        <v>8</v>
      </c>
    </row>
    <row r="78" spans="1:29" x14ac:dyDescent="0.25">
      <c r="A78">
        <v>73</v>
      </c>
      <c r="B78" t="s">
        <v>743</v>
      </c>
      <c r="C78" t="s">
        <v>90</v>
      </c>
      <c r="E78">
        <v>1.3</v>
      </c>
      <c r="F78">
        <v>16</v>
      </c>
      <c r="G78" s="3">
        <f t="shared" si="7"/>
        <v>0</v>
      </c>
      <c r="H78" s="3">
        <f t="shared" si="8"/>
        <v>0</v>
      </c>
      <c r="I78" s="3">
        <f t="shared" si="9"/>
        <v>0</v>
      </c>
      <c r="J78" s="3">
        <f t="shared" si="10"/>
        <v>0</v>
      </c>
      <c r="K78" s="3">
        <f t="shared" si="11"/>
        <v>12</v>
      </c>
      <c r="L78">
        <v>1.9</v>
      </c>
      <c r="M78">
        <v>0</v>
      </c>
      <c r="N78" t="s">
        <v>8</v>
      </c>
      <c r="O78" t="s">
        <v>8</v>
      </c>
      <c r="P78" t="s">
        <v>8</v>
      </c>
      <c r="Q78" t="s">
        <v>8</v>
      </c>
      <c r="R78">
        <v>0</v>
      </c>
      <c r="S78">
        <v>2</v>
      </c>
      <c r="T78" t="s">
        <v>8</v>
      </c>
      <c r="U78">
        <v>0</v>
      </c>
      <c r="V78" t="s">
        <v>8</v>
      </c>
      <c r="W78">
        <v>0</v>
      </c>
      <c r="X78">
        <v>4.0999999999999996</v>
      </c>
      <c r="Y78">
        <v>0.9</v>
      </c>
      <c r="Z78">
        <v>0</v>
      </c>
      <c r="AA78">
        <v>7.1</v>
      </c>
      <c r="AB78">
        <v>0</v>
      </c>
      <c r="AC78">
        <v>0</v>
      </c>
    </row>
    <row r="79" spans="1:29" x14ac:dyDescent="0.25">
      <c r="A79">
        <v>88</v>
      </c>
      <c r="B79" t="s">
        <v>789</v>
      </c>
      <c r="C79" t="s">
        <v>45</v>
      </c>
      <c r="E79">
        <v>1.2</v>
      </c>
      <c r="F79">
        <v>10.9</v>
      </c>
      <c r="G79" s="3">
        <f t="shared" si="7"/>
        <v>0</v>
      </c>
      <c r="H79" s="3">
        <f t="shared" si="8"/>
        <v>0</v>
      </c>
      <c r="I79" s="3">
        <f t="shared" si="9"/>
        <v>0</v>
      </c>
      <c r="J79" s="3">
        <f t="shared" si="10"/>
        <v>0</v>
      </c>
      <c r="K79" s="3">
        <f t="shared" si="11"/>
        <v>9</v>
      </c>
      <c r="L79" t="s">
        <v>8</v>
      </c>
      <c r="M79" t="s">
        <v>8</v>
      </c>
      <c r="N79" t="s">
        <v>8</v>
      </c>
      <c r="O79" t="s">
        <v>8</v>
      </c>
      <c r="P79" t="s">
        <v>7</v>
      </c>
      <c r="Q79" t="s">
        <v>8</v>
      </c>
      <c r="R79" t="s">
        <v>8</v>
      </c>
      <c r="S79" t="s">
        <v>8</v>
      </c>
      <c r="T79" t="s">
        <v>8</v>
      </c>
      <c r="U79">
        <v>0</v>
      </c>
      <c r="V79">
        <v>1.6</v>
      </c>
      <c r="W79">
        <v>1.7</v>
      </c>
      <c r="X79">
        <v>1.1000000000000001</v>
      </c>
      <c r="Y79">
        <v>1</v>
      </c>
      <c r="Z79">
        <v>1.7</v>
      </c>
      <c r="AA79">
        <v>2</v>
      </c>
      <c r="AB79">
        <v>1.8</v>
      </c>
      <c r="AC79">
        <v>0</v>
      </c>
    </row>
    <row r="80" spans="1:29" x14ac:dyDescent="0.25">
      <c r="A80">
        <v>69</v>
      </c>
      <c r="B80" t="s">
        <v>739</v>
      </c>
      <c r="C80" t="s">
        <v>76</v>
      </c>
      <c r="E80">
        <v>1.1000000000000001</v>
      </c>
      <c r="F80">
        <v>18.7</v>
      </c>
      <c r="G80" s="3">
        <f t="shared" si="7"/>
        <v>0</v>
      </c>
      <c r="H80" s="3">
        <f t="shared" si="8"/>
        <v>0</v>
      </c>
      <c r="I80" s="3">
        <f t="shared" si="9"/>
        <v>0</v>
      </c>
      <c r="J80" s="3">
        <f t="shared" si="10"/>
        <v>0</v>
      </c>
      <c r="K80" s="3">
        <f t="shared" si="11"/>
        <v>17</v>
      </c>
      <c r="L80">
        <v>0</v>
      </c>
      <c r="M80">
        <v>3.3</v>
      </c>
      <c r="N80">
        <v>1.1000000000000001</v>
      </c>
      <c r="O80">
        <v>0</v>
      </c>
      <c r="P80">
        <v>3.7</v>
      </c>
      <c r="Q80">
        <v>0</v>
      </c>
      <c r="R80">
        <v>0</v>
      </c>
      <c r="S80">
        <v>0</v>
      </c>
      <c r="T80">
        <v>1.5</v>
      </c>
      <c r="U80">
        <v>3.6</v>
      </c>
      <c r="V80">
        <v>1.3</v>
      </c>
      <c r="W80" t="s">
        <v>8</v>
      </c>
      <c r="X80">
        <v>0</v>
      </c>
      <c r="Y80">
        <v>0</v>
      </c>
      <c r="Z80">
        <v>0</v>
      </c>
      <c r="AA80">
        <v>2.8</v>
      </c>
      <c r="AB80">
        <v>0</v>
      </c>
      <c r="AC80">
        <v>1.4</v>
      </c>
    </row>
    <row r="81" spans="1:29" x14ac:dyDescent="0.25">
      <c r="A81">
        <v>70</v>
      </c>
      <c r="B81" t="s">
        <v>783</v>
      </c>
      <c r="C81" t="s">
        <v>64</v>
      </c>
      <c r="E81">
        <v>1</v>
      </c>
      <c r="F81">
        <v>17.8</v>
      </c>
      <c r="G81" s="3">
        <f t="shared" si="7"/>
        <v>0</v>
      </c>
      <c r="H81" s="3">
        <f t="shared" si="8"/>
        <v>0</v>
      </c>
      <c r="I81" s="3">
        <f t="shared" si="9"/>
        <v>0</v>
      </c>
      <c r="J81" s="3">
        <f t="shared" si="10"/>
        <v>0</v>
      </c>
      <c r="K81" s="3">
        <f t="shared" si="11"/>
        <v>17</v>
      </c>
      <c r="L81">
        <v>0</v>
      </c>
      <c r="M81">
        <v>0</v>
      </c>
      <c r="N81">
        <v>0</v>
      </c>
      <c r="O81">
        <v>0</v>
      </c>
      <c r="P81">
        <v>4</v>
      </c>
      <c r="Q81">
        <v>0</v>
      </c>
      <c r="R81" t="s">
        <v>7</v>
      </c>
      <c r="S81">
        <v>0</v>
      </c>
      <c r="T81">
        <v>0</v>
      </c>
      <c r="U81">
        <v>0</v>
      </c>
      <c r="V81">
        <v>8.1999999999999993</v>
      </c>
      <c r="W81">
        <v>4.4000000000000004</v>
      </c>
      <c r="X81">
        <v>0</v>
      </c>
      <c r="Y81">
        <v>0</v>
      </c>
      <c r="Z81">
        <v>1.2</v>
      </c>
      <c r="AA81">
        <v>0</v>
      </c>
      <c r="AB81">
        <v>0</v>
      </c>
      <c r="AC81">
        <v>0</v>
      </c>
    </row>
    <row r="82" spans="1:29" x14ac:dyDescent="0.25">
      <c r="A82">
        <v>93</v>
      </c>
      <c r="B82" t="s">
        <v>791</v>
      </c>
      <c r="C82" t="s">
        <v>30</v>
      </c>
      <c r="E82">
        <v>1</v>
      </c>
      <c r="F82">
        <v>7.8</v>
      </c>
      <c r="G82" s="3">
        <f t="shared" si="7"/>
        <v>0</v>
      </c>
      <c r="H82" s="3">
        <f t="shared" si="8"/>
        <v>0</v>
      </c>
      <c r="I82" s="3">
        <f t="shared" si="9"/>
        <v>0</v>
      </c>
      <c r="J82" s="3">
        <f t="shared" si="10"/>
        <v>0</v>
      </c>
      <c r="K82" s="3">
        <f t="shared" si="11"/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 t="s">
        <v>8</v>
      </c>
      <c r="R82" t="s">
        <v>8</v>
      </c>
      <c r="S82" t="s">
        <v>8</v>
      </c>
      <c r="T82" t="s">
        <v>8</v>
      </c>
      <c r="U82">
        <v>1</v>
      </c>
      <c r="V82">
        <v>0</v>
      </c>
      <c r="W82" t="s">
        <v>7</v>
      </c>
      <c r="X82">
        <v>0</v>
      </c>
      <c r="Y82">
        <v>0</v>
      </c>
      <c r="Z82">
        <v>3.2</v>
      </c>
      <c r="AA82">
        <v>0</v>
      </c>
      <c r="AB82">
        <v>1.7</v>
      </c>
      <c r="AC82">
        <v>1.9</v>
      </c>
    </row>
    <row r="83" spans="1:29" x14ac:dyDescent="0.25">
      <c r="A83">
        <v>95</v>
      </c>
      <c r="B83" t="s">
        <v>792</v>
      </c>
      <c r="C83" t="s">
        <v>6</v>
      </c>
      <c r="E83">
        <v>1</v>
      </c>
      <c r="F83">
        <v>7.7</v>
      </c>
      <c r="G83" s="3">
        <f t="shared" si="7"/>
        <v>0</v>
      </c>
      <c r="H83" s="3">
        <f t="shared" si="8"/>
        <v>0</v>
      </c>
      <c r="I83" s="3">
        <f t="shared" si="9"/>
        <v>0</v>
      </c>
      <c r="J83" s="3">
        <f t="shared" si="10"/>
        <v>0</v>
      </c>
      <c r="K83" s="3">
        <f t="shared" si="11"/>
        <v>8</v>
      </c>
      <c r="L83">
        <v>0</v>
      </c>
      <c r="M83">
        <v>0</v>
      </c>
      <c r="N83" t="s">
        <v>8</v>
      </c>
      <c r="O83" t="s">
        <v>8</v>
      </c>
      <c r="P83" t="s">
        <v>7</v>
      </c>
      <c r="Q83" t="s">
        <v>8</v>
      </c>
      <c r="R83" t="s">
        <v>8</v>
      </c>
      <c r="S83" t="s">
        <v>8</v>
      </c>
      <c r="T83">
        <v>0</v>
      </c>
      <c r="U83" t="s">
        <v>8</v>
      </c>
      <c r="V83" t="s">
        <v>8</v>
      </c>
      <c r="W83" t="s">
        <v>8</v>
      </c>
      <c r="X83" t="s">
        <v>8</v>
      </c>
      <c r="Y83">
        <v>0</v>
      </c>
      <c r="Z83">
        <v>0</v>
      </c>
      <c r="AA83">
        <v>0</v>
      </c>
      <c r="AB83">
        <v>0</v>
      </c>
      <c r="AC83">
        <v>7.7</v>
      </c>
    </row>
    <row r="84" spans="1:29" x14ac:dyDescent="0.25">
      <c r="A84">
        <v>73</v>
      </c>
      <c r="B84" t="s">
        <v>727</v>
      </c>
      <c r="C84" t="s">
        <v>78</v>
      </c>
      <c r="E84">
        <v>0.9</v>
      </c>
      <c r="F84">
        <v>16</v>
      </c>
      <c r="G84" s="3">
        <f t="shared" si="7"/>
        <v>1</v>
      </c>
      <c r="H84" s="3">
        <f t="shared" si="8"/>
        <v>0</v>
      </c>
      <c r="I84" s="3">
        <f t="shared" si="9"/>
        <v>0</v>
      </c>
      <c r="J84" s="3">
        <f t="shared" si="10"/>
        <v>0</v>
      </c>
      <c r="K84" s="3">
        <f t="shared" si="11"/>
        <v>17</v>
      </c>
      <c r="L84">
        <v>0</v>
      </c>
      <c r="M84">
        <v>0</v>
      </c>
      <c r="N84">
        <v>1.2</v>
      </c>
      <c r="O84">
        <v>0</v>
      </c>
      <c r="P84">
        <v>10.3</v>
      </c>
      <c r="Q84">
        <v>1.4</v>
      </c>
      <c r="R84">
        <v>0</v>
      </c>
      <c r="S84">
        <v>0</v>
      </c>
      <c r="T84" t="s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1.3</v>
      </c>
      <c r="AB84">
        <v>1.8</v>
      </c>
      <c r="AC84">
        <v>0</v>
      </c>
    </row>
    <row r="85" spans="1:29" x14ac:dyDescent="0.25">
      <c r="A85">
        <v>77</v>
      </c>
      <c r="B85" t="s">
        <v>763</v>
      </c>
      <c r="C85" t="s">
        <v>66</v>
      </c>
      <c r="E85">
        <v>0.9</v>
      </c>
      <c r="F85">
        <v>14.6</v>
      </c>
      <c r="G85" s="3">
        <f t="shared" si="7"/>
        <v>0</v>
      </c>
      <c r="H85" s="3">
        <f t="shared" si="8"/>
        <v>0</v>
      </c>
      <c r="I85" s="3">
        <f t="shared" si="9"/>
        <v>0</v>
      </c>
      <c r="J85" s="3">
        <f t="shared" si="10"/>
        <v>0</v>
      </c>
      <c r="K85" s="3">
        <f t="shared" si="11"/>
        <v>16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7.2</v>
      </c>
      <c r="U85">
        <v>0</v>
      </c>
      <c r="V85">
        <v>0</v>
      </c>
      <c r="W85" t="s">
        <v>7</v>
      </c>
      <c r="X85">
        <v>2.4</v>
      </c>
      <c r="Y85" t="s">
        <v>8</v>
      </c>
      <c r="Z85">
        <v>0</v>
      </c>
      <c r="AA85">
        <v>0</v>
      </c>
      <c r="AB85">
        <v>0</v>
      </c>
      <c r="AC85">
        <v>5</v>
      </c>
    </row>
    <row r="86" spans="1:29" x14ac:dyDescent="0.25">
      <c r="A86">
        <v>93</v>
      </c>
      <c r="B86" t="s">
        <v>771</v>
      </c>
      <c r="C86" t="s">
        <v>55</v>
      </c>
      <c r="E86">
        <v>0.9</v>
      </c>
      <c r="F86">
        <v>7.8</v>
      </c>
      <c r="G86" s="3">
        <f t="shared" si="7"/>
        <v>0</v>
      </c>
      <c r="H86" s="3">
        <f t="shared" si="8"/>
        <v>0</v>
      </c>
      <c r="I86" s="3">
        <f t="shared" si="9"/>
        <v>0</v>
      </c>
      <c r="J86" s="3">
        <f t="shared" si="10"/>
        <v>0</v>
      </c>
      <c r="K86" s="3">
        <f t="shared" si="11"/>
        <v>9</v>
      </c>
      <c r="L86">
        <v>3.2</v>
      </c>
      <c r="M86">
        <v>4.5999999999999996</v>
      </c>
      <c r="N86">
        <v>0</v>
      </c>
      <c r="O86">
        <v>0</v>
      </c>
      <c r="P86" t="s">
        <v>8</v>
      </c>
      <c r="Q86" t="s">
        <v>8</v>
      </c>
      <c r="R86" t="s">
        <v>8</v>
      </c>
      <c r="S86" t="s">
        <v>8</v>
      </c>
      <c r="T86" t="s">
        <v>8</v>
      </c>
      <c r="U86" t="s">
        <v>8</v>
      </c>
      <c r="V86" t="s">
        <v>7</v>
      </c>
      <c r="W86" t="s">
        <v>8</v>
      </c>
      <c r="X86" t="s">
        <v>8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>
        <v>78</v>
      </c>
      <c r="B87" t="s">
        <v>734</v>
      </c>
      <c r="C87" t="s">
        <v>60</v>
      </c>
      <c r="E87">
        <v>0.8</v>
      </c>
      <c r="F87">
        <v>14.4</v>
      </c>
      <c r="G87" s="3">
        <f t="shared" si="7"/>
        <v>0</v>
      </c>
      <c r="H87" s="3">
        <f t="shared" si="8"/>
        <v>0</v>
      </c>
      <c r="I87" s="3">
        <f t="shared" si="9"/>
        <v>0</v>
      </c>
      <c r="J87" s="3">
        <f t="shared" si="10"/>
        <v>0</v>
      </c>
      <c r="K87" s="3">
        <f t="shared" si="11"/>
        <v>17</v>
      </c>
      <c r="L87">
        <v>0</v>
      </c>
      <c r="M87">
        <v>1.5</v>
      </c>
      <c r="N87">
        <v>0</v>
      </c>
      <c r="O87">
        <v>1.9</v>
      </c>
      <c r="P87">
        <v>0</v>
      </c>
      <c r="Q87">
        <v>0</v>
      </c>
      <c r="R87">
        <v>0</v>
      </c>
      <c r="S87">
        <v>3</v>
      </c>
      <c r="T87">
        <v>0</v>
      </c>
      <c r="U87">
        <v>0</v>
      </c>
      <c r="V87">
        <v>3.7</v>
      </c>
      <c r="W87">
        <v>0.3</v>
      </c>
      <c r="X87">
        <v>0</v>
      </c>
      <c r="Y87" t="s">
        <v>7</v>
      </c>
      <c r="Z87">
        <v>1.6</v>
      </c>
      <c r="AA87">
        <v>0</v>
      </c>
      <c r="AB87">
        <v>2.4</v>
      </c>
      <c r="AC87">
        <v>0</v>
      </c>
    </row>
    <row r="88" spans="1:29" x14ac:dyDescent="0.25">
      <c r="A88">
        <v>79</v>
      </c>
      <c r="B88" t="s">
        <v>708</v>
      </c>
      <c r="C88" t="s">
        <v>43</v>
      </c>
      <c r="E88">
        <v>0.8</v>
      </c>
      <c r="F88">
        <v>14.3</v>
      </c>
      <c r="G88" s="3">
        <f t="shared" si="7"/>
        <v>0</v>
      </c>
      <c r="H88" s="3">
        <f t="shared" si="8"/>
        <v>0</v>
      </c>
      <c r="I88" s="3">
        <f t="shared" si="9"/>
        <v>0</v>
      </c>
      <c r="J88" s="3">
        <f t="shared" si="10"/>
        <v>0</v>
      </c>
      <c r="K88" s="3">
        <f t="shared" si="11"/>
        <v>17</v>
      </c>
      <c r="L88">
        <v>0</v>
      </c>
      <c r="M88">
        <v>1.8</v>
      </c>
      <c r="N88">
        <v>1.3</v>
      </c>
      <c r="O88">
        <v>0</v>
      </c>
      <c r="P88">
        <v>0</v>
      </c>
      <c r="Q88" t="s">
        <v>8</v>
      </c>
      <c r="R88">
        <v>0</v>
      </c>
      <c r="S88">
        <v>0</v>
      </c>
      <c r="T88">
        <v>1.4</v>
      </c>
      <c r="U88">
        <v>1.6</v>
      </c>
      <c r="V88">
        <v>1.3</v>
      </c>
      <c r="W88">
        <v>1.8</v>
      </c>
      <c r="X88">
        <v>1.8</v>
      </c>
      <c r="Y88">
        <v>0</v>
      </c>
      <c r="Z88">
        <v>1.8</v>
      </c>
      <c r="AA88">
        <v>1.5</v>
      </c>
      <c r="AB88">
        <v>0</v>
      </c>
      <c r="AC88">
        <v>0</v>
      </c>
    </row>
    <row r="89" spans="1:29" x14ac:dyDescent="0.25">
      <c r="A89">
        <v>80</v>
      </c>
      <c r="B89" t="s">
        <v>785</v>
      </c>
      <c r="C89" t="s">
        <v>60</v>
      </c>
      <c r="E89">
        <v>0.8</v>
      </c>
      <c r="F89">
        <v>13.8</v>
      </c>
      <c r="G89" s="3">
        <f t="shared" si="7"/>
        <v>0</v>
      </c>
      <c r="H89" s="3">
        <f t="shared" si="8"/>
        <v>0</v>
      </c>
      <c r="I89" s="3">
        <f t="shared" si="9"/>
        <v>0</v>
      </c>
      <c r="J89" s="3">
        <f t="shared" si="10"/>
        <v>0</v>
      </c>
      <c r="K89" s="3">
        <f t="shared" si="11"/>
        <v>17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8.6</v>
      </c>
      <c r="S89">
        <v>0</v>
      </c>
      <c r="T89">
        <v>2.2000000000000002</v>
      </c>
      <c r="U89">
        <v>0</v>
      </c>
      <c r="V89">
        <v>0</v>
      </c>
      <c r="W89">
        <v>0</v>
      </c>
      <c r="X89">
        <v>1.3</v>
      </c>
      <c r="Y89" t="s">
        <v>7</v>
      </c>
      <c r="Z89">
        <v>1.7</v>
      </c>
      <c r="AA89">
        <v>0</v>
      </c>
      <c r="AB89">
        <v>0</v>
      </c>
      <c r="AC89">
        <v>0</v>
      </c>
    </row>
    <row r="90" spans="1:29" x14ac:dyDescent="0.25">
      <c r="A90">
        <v>82</v>
      </c>
      <c r="B90" t="s">
        <v>787</v>
      </c>
      <c r="C90" t="s">
        <v>66</v>
      </c>
      <c r="E90">
        <v>0.8</v>
      </c>
      <c r="F90">
        <v>13</v>
      </c>
      <c r="G90" s="3">
        <f t="shared" si="7"/>
        <v>0</v>
      </c>
      <c r="H90" s="3">
        <f t="shared" si="8"/>
        <v>0</v>
      </c>
      <c r="I90" s="3">
        <f t="shared" si="9"/>
        <v>0</v>
      </c>
      <c r="J90" s="3">
        <f t="shared" si="10"/>
        <v>0</v>
      </c>
      <c r="K90" s="3">
        <f t="shared" si="11"/>
        <v>17</v>
      </c>
      <c r="L90">
        <v>0</v>
      </c>
      <c r="M90">
        <v>0</v>
      </c>
      <c r="N90">
        <v>0</v>
      </c>
      <c r="O90">
        <v>0</v>
      </c>
      <c r="P90">
        <v>3.6</v>
      </c>
      <c r="Q90" t="s">
        <v>8</v>
      </c>
      <c r="R90">
        <v>1.5</v>
      </c>
      <c r="S90">
        <v>2.8</v>
      </c>
      <c r="T90">
        <v>1.4</v>
      </c>
      <c r="U90">
        <v>0</v>
      </c>
      <c r="V90">
        <v>0</v>
      </c>
      <c r="W90">
        <v>0</v>
      </c>
      <c r="X90">
        <v>0</v>
      </c>
      <c r="Y90">
        <v>0</v>
      </c>
      <c r="Z90">
        <v>3.7</v>
      </c>
      <c r="AA90">
        <v>0</v>
      </c>
      <c r="AB90">
        <v>0</v>
      </c>
      <c r="AC90">
        <v>0</v>
      </c>
    </row>
    <row r="91" spans="1:29" x14ac:dyDescent="0.25">
      <c r="A91">
        <v>83</v>
      </c>
      <c r="B91" t="s">
        <v>731</v>
      </c>
      <c r="C91" t="s">
        <v>18</v>
      </c>
      <c r="E91">
        <v>0.8</v>
      </c>
      <c r="F91">
        <v>12.5</v>
      </c>
      <c r="G91" s="3">
        <f t="shared" si="7"/>
        <v>0</v>
      </c>
      <c r="H91" s="3">
        <f t="shared" si="8"/>
        <v>0</v>
      </c>
      <c r="I91" s="3">
        <f t="shared" si="9"/>
        <v>0</v>
      </c>
      <c r="J91" s="3">
        <f t="shared" si="10"/>
        <v>0</v>
      </c>
      <c r="K91" s="3">
        <f t="shared" si="11"/>
        <v>15</v>
      </c>
      <c r="L91" t="s">
        <v>8</v>
      </c>
      <c r="M91" t="s">
        <v>8</v>
      </c>
      <c r="N91">
        <v>1.9</v>
      </c>
      <c r="O91">
        <v>1.3</v>
      </c>
      <c r="P91">
        <v>1.7</v>
      </c>
      <c r="Q91">
        <v>0</v>
      </c>
      <c r="R91">
        <v>0</v>
      </c>
      <c r="S91">
        <v>0</v>
      </c>
      <c r="T91">
        <v>0</v>
      </c>
      <c r="U91" t="s">
        <v>8</v>
      </c>
      <c r="V91">
        <v>0</v>
      </c>
      <c r="W91">
        <v>3.9</v>
      </c>
      <c r="X91">
        <v>0</v>
      </c>
      <c r="Y91">
        <v>1.6</v>
      </c>
      <c r="Z91">
        <v>0</v>
      </c>
      <c r="AA91">
        <v>2.7</v>
      </c>
      <c r="AB91">
        <v>-0.6</v>
      </c>
      <c r="AC91">
        <v>0</v>
      </c>
    </row>
    <row r="92" spans="1:29" x14ac:dyDescent="0.25">
      <c r="A92">
        <v>84</v>
      </c>
      <c r="B92" t="s">
        <v>788</v>
      </c>
      <c r="C92" t="s">
        <v>55</v>
      </c>
      <c r="E92">
        <v>0.7</v>
      </c>
      <c r="F92">
        <v>12</v>
      </c>
      <c r="G92" s="3">
        <f t="shared" si="7"/>
        <v>0</v>
      </c>
      <c r="H92" s="3">
        <f t="shared" si="8"/>
        <v>0</v>
      </c>
      <c r="I92" s="3">
        <f t="shared" si="9"/>
        <v>0</v>
      </c>
      <c r="J92" s="3">
        <f t="shared" si="10"/>
        <v>0</v>
      </c>
      <c r="K92" s="3">
        <f t="shared" si="11"/>
        <v>17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7.2</v>
      </c>
      <c r="U92">
        <v>0</v>
      </c>
      <c r="V92" t="s">
        <v>7</v>
      </c>
      <c r="W92">
        <v>0</v>
      </c>
      <c r="X92">
        <v>0</v>
      </c>
      <c r="Y92">
        <v>0</v>
      </c>
      <c r="Z92">
        <v>0</v>
      </c>
      <c r="AA92">
        <v>0</v>
      </c>
      <c r="AB92">
        <v>2.2000000000000002</v>
      </c>
      <c r="AC92">
        <v>2.6</v>
      </c>
    </row>
    <row r="93" spans="1:29" x14ac:dyDescent="0.25">
      <c r="A93">
        <v>85</v>
      </c>
      <c r="B93" t="s">
        <v>770</v>
      </c>
      <c r="C93" t="s">
        <v>14</v>
      </c>
      <c r="E93">
        <v>0.7</v>
      </c>
      <c r="F93">
        <v>11.6</v>
      </c>
      <c r="G93" s="3">
        <f t="shared" si="7"/>
        <v>0</v>
      </c>
      <c r="H93" s="3">
        <f t="shared" si="8"/>
        <v>0</v>
      </c>
      <c r="I93" s="3">
        <f t="shared" si="9"/>
        <v>0</v>
      </c>
      <c r="J93" s="3">
        <f t="shared" si="10"/>
        <v>0</v>
      </c>
      <c r="K93" s="3">
        <f t="shared" si="11"/>
        <v>16</v>
      </c>
      <c r="L93">
        <v>1.4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2.2999999999999998</v>
      </c>
      <c r="T93">
        <v>0</v>
      </c>
      <c r="U93">
        <v>0</v>
      </c>
      <c r="V93" t="s">
        <v>8</v>
      </c>
      <c r="W93" t="s">
        <v>7</v>
      </c>
      <c r="X93">
        <v>1.5</v>
      </c>
      <c r="Y93">
        <v>2.1</v>
      </c>
      <c r="Z93">
        <v>2.7</v>
      </c>
      <c r="AA93">
        <v>0</v>
      </c>
      <c r="AB93">
        <v>1.6</v>
      </c>
      <c r="AC93">
        <v>0</v>
      </c>
    </row>
    <row r="94" spans="1:29" x14ac:dyDescent="0.25">
      <c r="A94">
        <v>85</v>
      </c>
      <c r="B94" t="s">
        <v>697</v>
      </c>
      <c r="C94" t="s">
        <v>90</v>
      </c>
      <c r="E94">
        <v>0.7</v>
      </c>
      <c r="F94">
        <v>11.6</v>
      </c>
      <c r="G94" s="3">
        <f t="shared" si="7"/>
        <v>0</v>
      </c>
      <c r="H94" s="3">
        <f t="shared" si="8"/>
        <v>0</v>
      </c>
      <c r="I94" s="3">
        <f t="shared" si="9"/>
        <v>0</v>
      </c>
      <c r="J94" s="3">
        <f t="shared" si="10"/>
        <v>0</v>
      </c>
      <c r="K94" s="3">
        <f t="shared" si="11"/>
        <v>17</v>
      </c>
      <c r="L94">
        <v>0.9</v>
      </c>
      <c r="M94">
        <v>2.1</v>
      </c>
      <c r="N94">
        <v>0</v>
      </c>
      <c r="O94">
        <v>0</v>
      </c>
      <c r="P94">
        <v>4.2</v>
      </c>
      <c r="Q94">
        <v>0</v>
      </c>
      <c r="R94" t="s">
        <v>8</v>
      </c>
      <c r="S94">
        <v>1.3</v>
      </c>
      <c r="T94">
        <v>1.5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1.6</v>
      </c>
      <c r="AB94">
        <v>0</v>
      </c>
      <c r="AC94">
        <v>0</v>
      </c>
    </row>
    <row r="95" spans="1:29" x14ac:dyDescent="0.25">
      <c r="A95">
        <v>90</v>
      </c>
      <c r="B95" t="s">
        <v>744</v>
      </c>
      <c r="C95" t="s">
        <v>20</v>
      </c>
      <c r="E95">
        <v>0.7</v>
      </c>
      <c r="F95">
        <v>9.9</v>
      </c>
      <c r="G95" s="3">
        <f t="shared" si="7"/>
        <v>0</v>
      </c>
      <c r="H95" s="3">
        <f t="shared" si="8"/>
        <v>0</v>
      </c>
      <c r="I95" s="3">
        <f t="shared" si="9"/>
        <v>0</v>
      </c>
      <c r="J95" s="3">
        <f t="shared" si="10"/>
        <v>0</v>
      </c>
      <c r="K95" s="3">
        <f t="shared" si="11"/>
        <v>14</v>
      </c>
      <c r="L95">
        <v>0</v>
      </c>
      <c r="M95" t="s">
        <v>8</v>
      </c>
      <c r="N95" t="s">
        <v>8</v>
      </c>
      <c r="O95" t="s">
        <v>8</v>
      </c>
      <c r="P95">
        <v>0</v>
      </c>
      <c r="Q95" t="s">
        <v>7</v>
      </c>
      <c r="R95">
        <v>0</v>
      </c>
      <c r="S95">
        <v>0</v>
      </c>
      <c r="T95">
        <v>1.5</v>
      </c>
      <c r="U95">
        <v>8.4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96</v>
      </c>
      <c r="B96" t="s">
        <v>729</v>
      </c>
      <c r="C96" t="s">
        <v>24</v>
      </c>
      <c r="E96">
        <v>0.7</v>
      </c>
      <c r="F96">
        <v>6.9</v>
      </c>
      <c r="G96" s="3">
        <f t="shared" si="7"/>
        <v>0</v>
      </c>
      <c r="H96" s="3">
        <f t="shared" si="8"/>
        <v>0</v>
      </c>
      <c r="I96" s="3">
        <f t="shared" si="9"/>
        <v>0</v>
      </c>
      <c r="J96" s="3">
        <f t="shared" si="10"/>
        <v>0</v>
      </c>
      <c r="K96" s="3">
        <f t="shared" si="11"/>
        <v>10</v>
      </c>
      <c r="L96" t="s">
        <v>8</v>
      </c>
      <c r="M96" t="s">
        <v>8</v>
      </c>
      <c r="N96" t="s">
        <v>8</v>
      </c>
      <c r="O96">
        <v>0</v>
      </c>
      <c r="P96">
        <v>1.7</v>
      </c>
      <c r="Q96">
        <v>0</v>
      </c>
      <c r="R96">
        <v>1.5</v>
      </c>
      <c r="S96">
        <v>0</v>
      </c>
      <c r="T96">
        <v>0</v>
      </c>
      <c r="U96">
        <v>2</v>
      </c>
      <c r="V96" t="s">
        <v>8</v>
      </c>
      <c r="W96" t="s">
        <v>8</v>
      </c>
      <c r="X96">
        <v>1.7</v>
      </c>
      <c r="Y96" t="s">
        <v>7</v>
      </c>
      <c r="Z96">
        <v>0</v>
      </c>
      <c r="AA96">
        <v>0</v>
      </c>
      <c r="AB96" t="s">
        <v>8</v>
      </c>
      <c r="AC96" t="s">
        <v>8</v>
      </c>
    </row>
    <row r="97" spans="1:29" x14ac:dyDescent="0.25">
      <c r="A97">
        <v>98</v>
      </c>
      <c r="B97" t="s">
        <v>794</v>
      </c>
      <c r="C97" t="s">
        <v>18</v>
      </c>
      <c r="E97">
        <v>0.7</v>
      </c>
      <c r="F97">
        <v>4.5999999999999996</v>
      </c>
      <c r="G97" s="3">
        <f t="shared" si="7"/>
        <v>0</v>
      </c>
      <c r="H97" s="3">
        <f t="shared" si="8"/>
        <v>0</v>
      </c>
      <c r="I97" s="3">
        <f t="shared" si="9"/>
        <v>0</v>
      </c>
      <c r="J97" s="3">
        <f t="shared" si="10"/>
        <v>0</v>
      </c>
      <c r="K97" s="3">
        <f t="shared" si="11"/>
        <v>7</v>
      </c>
      <c r="L97">
        <v>0</v>
      </c>
      <c r="M97">
        <v>0</v>
      </c>
      <c r="N97">
        <v>1.1000000000000001</v>
      </c>
      <c r="O97">
        <v>3.5</v>
      </c>
      <c r="P97">
        <v>0</v>
      </c>
      <c r="Q97" t="s">
        <v>7</v>
      </c>
      <c r="R97" t="s">
        <v>8</v>
      </c>
      <c r="S97" t="s">
        <v>8</v>
      </c>
      <c r="T97">
        <v>0</v>
      </c>
      <c r="U97">
        <v>0</v>
      </c>
      <c r="V97" t="s">
        <v>8</v>
      </c>
      <c r="W97" t="s">
        <v>8</v>
      </c>
      <c r="X97" t="s">
        <v>8</v>
      </c>
      <c r="Y97" t="s">
        <v>8</v>
      </c>
      <c r="Z97" t="s">
        <v>8</v>
      </c>
      <c r="AA97" t="s">
        <v>8</v>
      </c>
      <c r="AB97" t="s">
        <v>8</v>
      </c>
      <c r="AC97" t="s">
        <v>8</v>
      </c>
    </row>
    <row r="98" spans="1:29" x14ac:dyDescent="0.25">
      <c r="A98">
        <v>101</v>
      </c>
      <c r="B98" t="s">
        <v>762</v>
      </c>
      <c r="C98" t="s">
        <v>97</v>
      </c>
      <c r="E98">
        <v>0.7</v>
      </c>
      <c r="F98">
        <v>3.7</v>
      </c>
      <c r="G98" s="3">
        <f t="shared" si="7"/>
        <v>0</v>
      </c>
      <c r="H98" s="3">
        <f t="shared" si="8"/>
        <v>0</v>
      </c>
      <c r="I98" s="3">
        <f t="shared" si="9"/>
        <v>0</v>
      </c>
      <c r="J98" s="3">
        <f t="shared" si="10"/>
        <v>0</v>
      </c>
      <c r="K98" s="3">
        <f t="shared" si="11"/>
        <v>5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  <c r="Q98">
        <v>0</v>
      </c>
      <c r="R98">
        <v>2.4</v>
      </c>
      <c r="S98">
        <v>0</v>
      </c>
      <c r="T98">
        <v>0</v>
      </c>
      <c r="U98">
        <v>1.3</v>
      </c>
      <c r="V98" t="s">
        <v>8</v>
      </c>
      <c r="W98" t="s">
        <v>8</v>
      </c>
      <c r="X98" t="s">
        <v>8</v>
      </c>
      <c r="Y98" t="s">
        <v>8</v>
      </c>
      <c r="Z98" t="s">
        <v>8</v>
      </c>
      <c r="AA98" t="s">
        <v>8</v>
      </c>
      <c r="AB98" t="s">
        <v>8</v>
      </c>
      <c r="AC98" t="s">
        <v>8</v>
      </c>
    </row>
    <row r="99" spans="1:29" x14ac:dyDescent="0.25">
      <c r="A99">
        <v>91</v>
      </c>
      <c r="B99" t="s">
        <v>790</v>
      </c>
      <c r="C99" t="s">
        <v>28</v>
      </c>
      <c r="E99">
        <v>0.6</v>
      </c>
      <c r="F99">
        <v>9.6999999999999993</v>
      </c>
      <c r="G99" s="3">
        <f t="shared" si="7"/>
        <v>0</v>
      </c>
      <c r="H99" s="3">
        <f t="shared" si="8"/>
        <v>0</v>
      </c>
      <c r="I99" s="3">
        <f t="shared" si="9"/>
        <v>0</v>
      </c>
      <c r="J99" s="3">
        <f t="shared" si="10"/>
        <v>0</v>
      </c>
      <c r="K99" s="3">
        <f t="shared" si="11"/>
        <v>17</v>
      </c>
      <c r="L99">
        <v>0</v>
      </c>
      <c r="M99">
        <v>0</v>
      </c>
      <c r="N99">
        <v>0</v>
      </c>
      <c r="O99">
        <v>0</v>
      </c>
      <c r="P99">
        <v>1.5</v>
      </c>
      <c r="Q99">
        <v>0</v>
      </c>
      <c r="R99">
        <v>1.1000000000000001</v>
      </c>
      <c r="S99">
        <v>0</v>
      </c>
      <c r="T99">
        <v>0</v>
      </c>
      <c r="U99">
        <v>0</v>
      </c>
      <c r="V99" t="s">
        <v>7</v>
      </c>
      <c r="W99">
        <v>0</v>
      </c>
      <c r="X99">
        <v>1.9</v>
      </c>
      <c r="Y99">
        <v>2.4</v>
      </c>
      <c r="Z99">
        <v>2.8</v>
      </c>
      <c r="AA99">
        <v>0</v>
      </c>
      <c r="AB99">
        <v>0</v>
      </c>
      <c r="AC99">
        <v>0</v>
      </c>
    </row>
    <row r="100" spans="1:29" x14ac:dyDescent="0.25">
      <c r="A100">
        <v>92</v>
      </c>
      <c r="B100" t="s">
        <v>759</v>
      </c>
      <c r="C100" t="s">
        <v>16</v>
      </c>
      <c r="E100">
        <v>0.5</v>
      </c>
      <c r="F100">
        <v>8.1999999999999993</v>
      </c>
      <c r="G100" s="3">
        <f t="shared" si="7"/>
        <v>0</v>
      </c>
      <c r="H100" s="3">
        <f t="shared" si="8"/>
        <v>0</v>
      </c>
      <c r="I100" s="3">
        <f t="shared" si="9"/>
        <v>0</v>
      </c>
      <c r="J100" s="3">
        <f t="shared" si="10"/>
        <v>0</v>
      </c>
      <c r="K100" s="3">
        <f t="shared" si="11"/>
        <v>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5.8</v>
      </c>
      <c r="R100">
        <v>1.2</v>
      </c>
      <c r="S100">
        <v>0</v>
      </c>
      <c r="T100">
        <v>0</v>
      </c>
      <c r="U100" t="s">
        <v>7</v>
      </c>
      <c r="V100">
        <v>0</v>
      </c>
      <c r="W100">
        <v>0</v>
      </c>
      <c r="X100">
        <v>0</v>
      </c>
      <c r="Y100">
        <v>1.2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110</v>
      </c>
      <c r="B101" t="s">
        <v>801</v>
      </c>
      <c r="C101" t="s">
        <v>22</v>
      </c>
      <c r="E101">
        <v>0.5</v>
      </c>
      <c r="F101">
        <v>1.5</v>
      </c>
      <c r="G101" s="3">
        <f t="shared" si="7"/>
        <v>0</v>
      </c>
      <c r="H101" s="3">
        <f t="shared" si="8"/>
        <v>0</v>
      </c>
      <c r="I101" s="3">
        <f t="shared" si="9"/>
        <v>0</v>
      </c>
      <c r="J101" s="3">
        <f t="shared" si="10"/>
        <v>0</v>
      </c>
      <c r="K101" s="3">
        <f t="shared" si="11"/>
        <v>3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>
        <v>1.5</v>
      </c>
      <c r="W101" t="s">
        <v>7</v>
      </c>
      <c r="X101">
        <v>0</v>
      </c>
      <c r="Y101">
        <v>0</v>
      </c>
      <c r="Z101" t="s">
        <v>8</v>
      </c>
      <c r="AA101" t="s">
        <v>8</v>
      </c>
      <c r="AB101" t="s">
        <v>8</v>
      </c>
      <c r="AC101" t="s">
        <v>8</v>
      </c>
    </row>
    <row r="102" spans="1:29" x14ac:dyDescent="0.25">
      <c r="A102">
        <v>110</v>
      </c>
      <c r="B102" t="s">
        <v>803</v>
      </c>
      <c r="C102" t="s">
        <v>90</v>
      </c>
      <c r="E102">
        <v>0.5</v>
      </c>
      <c r="F102">
        <v>1.5</v>
      </c>
      <c r="G102" s="3">
        <f t="shared" si="7"/>
        <v>0</v>
      </c>
      <c r="H102" s="3">
        <f t="shared" si="8"/>
        <v>0</v>
      </c>
      <c r="I102" s="3">
        <f t="shared" si="9"/>
        <v>0</v>
      </c>
      <c r="J102" s="3">
        <f t="shared" si="10"/>
        <v>0</v>
      </c>
      <c r="K102" s="3">
        <f t="shared" si="11"/>
        <v>3</v>
      </c>
      <c r="L102" t="s">
        <v>8</v>
      </c>
      <c r="M102" t="s">
        <v>8</v>
      </c>
      <c r="N102" t="s">
        <v>8</v>
      </c>
      <c r="O102" t="s">
        <v>8</v>
      </c>
      <c r="P102">
        <v>1.5</v>
      </c>
      <c r="Q102" t="s">
        <v>8</v>
      </c>
      <c r="R102">
        <v>0</v>
      </c>
      <c r="S102">
        <v>0</v>
      </c>
      <c r="T102" t="s">
        <v>8</v>
      </c>
      <c r="U102" t="s">
        <v>8</v>
      </c>
      <c r="V102" t="s">
        <v>8</v>
      </c>
      <c r="W102" t="s">
        <v>8</v>
      </c>
      <c r="X102" t="s">
        <v>8</v>
      </c>
      <c r="Y102" t="s">
        <v>8</v>
      </c>
      <c r="Z102" t="s">
        <v>8</v>
      </c>
      <c r="AA102" t="s">
        <v>8</v>
      </c>
      <c r="AB102" t="s">
        <v>8</v>
      </c>
      <c r="AC102" t="s">
        <v>8</v>
      </c>
    </row>
    <row r="103" spans="1:29" x14ac:dyDescent="0.25">
      <c r="A103">
        <v>97</v>
      </c>
      <c r="B103" t="s">
        <v>793</v>
      </c>
      <c r="C103" t="s">
        <v>90</v>
      </c>
      <c r="E103">
        <v>0.4</v>
      </c>
      <c r="F103">
        <v>5.0999999999999996</v>
      </c>
      <c r="G103" s="3">
        <f t="shared" si="7"/>
        <v>0</v>
      </c>
      <c r="H103" s="3">
        <f t="shared" si="8"/>
        <v>0</v>
      </c>
      <c r="I103" s="3">
        <f t="shared" si="9"/>
        <v>0</v>
      </c>
      <c r="J103" s="3">
        <f t="shared" si="10"/>
        <v>0</v>
      </c>
      <c r="K103" s="3">
        <f t="shared" si="11"/>
        <v>12</v>
      </c>
      <c r="L103" t="s">
        <v>8</v>
      </c>
      <c r="M103" t="s">
        <v>8</v>
      </c>
      <c r="N103" t="s">
        <v>8</v>
      </c>
      <c r="O103" t="s">
        <v>8</v>
      </c>
      <c r="P103">
        <v>0</v>
      </c>
      <c r="Q103">
        <v>0</v>
      </c>
      <c r="R103">
        <v>0</v>
      </c>
      <c r="S103" t="s">
        <v>8</v>
      </c>
      <c r="T103">
        <v>0</v>
      </c>
      <c r="U103">
        <v>0</v>
      </c>
      <c r="V103">
        <v>0</v>
      </c>
      <c r="W103" t="s">
        <v>8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3.1</v>
      </c>
    </row>
    <row r="104" spans="1:29" x14ac:dyDescent="0.25">
      <c r="A104">
        <v>99</v>
      </c>
      <c r="B104" t="s">
        <v>754</v>
      </c>
      <c r="C104" t="s">
        <v>28</v>
      </c>
      <c r="E104">
        <v>0.3</v>
      </c>
      <c r="F104">
        <v>4.4000000000000004</v>
      </c>
      <c r="G104" s="3">
        <f t="shared" si="7"/>
        <v>0</v>
      </c>
      <c r="H104" s="3">
        <f t="shared" si="8"/>
        <v>0</v>
      </c>
      <c r="I104" s="3">
        <f t="shared" si="9"/>
        <v>0</v>
      </c>
      <c r="J104" s="3">
        <f t="shared" si="10"/>
        <v>0</v>
      </c>
      <c r="K104" s="3">
        <f t="shared" si="11"/>
        <v>13</v>
      </c>
      <c r="L104" t="s">
        <v>8</v>
      </c>
      <c r="M104" t="s">
        <v>8</v>
      </c>
      <c r="N104">
        <v>1.8</v>
      </c>
      <c r="O104">
        <v>0</v>
      </c>
      <c r="P104">
        <v>1.2</v>
      </c>
      <c r="Q104">
        <v>0</v>
      </c>
      <c r="R104">
        <v>0</v>
      </c>
      <c r="S104">
        <v>0</v>
      </c>
      <c r="T104">
        <v>0</v>
      </c>
      <c r="U104" t="s">
        <v>8</v>
      </c>
      <c r="V104">
        <v>0</v>
      </c>
      <c r="W104" t="s">
        <v>8</v>
      </c>
      <c r="X104" t="s">
        <v>8</v>
      </c>
      <c r="Y104">
        <v>0</v>
      </c>
      <c r="Z104">
        <v>0</v>
      </c>
      <c r="AA104">
        <v>1.4</v>
      </c>
      <c r="AB104">
        <v>0</v>
      </c>
      <c r="AC104">
        <v>0</v>
      </c>
    </row>
    <row r="105" spans="1:29" x14ac:dyDescent="0.25">
      <c r="A105">
        <v>100</v>
      </c>
      <c r="B105" t="s">
        <v>795</v>
      </c>
      <c r="C105" t="s">
        <v>57</v>
      </c>
      <c r="E105">
        <v>0.3</v>
      </c>
      <c r="F105">
        <v>4</v>
      </c>
      <c r="G105" s="3">
        <f t="shared" si="7"/>
        <v>0</v>
      </c>
      <c r="H105" s="3">
        <f t="shared" si="8"/>
        <v>0</v>
      </c>
      <c r="I105" s="3">
        <f t="shared" si="9"/>
        <v>0</v>
      </c>
      <c r="J105" s="3">
        <f t="shared" si="10"/>
        <v>0</v>
      </c>
      <c r="K105" s="3">
        <f t="shared" si="11"/>
        <v>13</v>
      </c>
      <c r="L105" t="s">
        <v>8</v>
      </c>
      <c r="M105">
        <v>0</v>
      </c>
      <c r="N105" t="s">
        <v>8</v>
      </c>
      <c r="O105" t="s">
        <v>8</v>
      </c>
      <c r="P105" t="s">
        <v>8</v>
      </c>
      <c r="Q105">
        <v>0</v>
      </c>
      <c r="R105">
        <v>0</v>
      </c>
      <c r="S105">
        <v>0</v>
      </c>
      <c r="T105">
        <v>1.1000000000000001</v>
      </c>
      <c r="U105">
        <v>0</v>
      </c>
      <c r="V105">
        <v>0</v>
      </c>
      <c r="W105">
        <v>0</v>
      </c>
      <c r="X105">
        <v>0</v>
      </c>
      <c r="Y105" t="s">
        <v>7</v>
      </c>
      <c r="Z105">
        <v>0</v>
      </c>
      <c r="AA105">
        <v>0</v>
      </c>
      <c r="AB105">
        <v>0</v>
      </c>
      <c r="AC105">
        <v>2.9</v>
      </c>
    </row>
    <row r="106" spans="1:29" x14ac:dyDescent="0.25">
      <c r="A106">
        <v>102</v>
      </c>
      <c r="B106" t="s">
        <v>796</v>
      </c>
      <c r="C106" t="s">
        <v>10</v>
      </c>
      <c r="E106">
        <v>0.3</v>
      </c>
      <c r="F106">
        <v>3.2</v>
      </c>
      <c r="G106" s="3">
        <f t="shared" si="7"/>
        <v>0</v>
      </c>
      <c r="H106" s="3">
        <f t="shared" si="8"/>
        <v>0</v>
      </c>
      <c r="I106" s="3">
        <f t="shared" si="9"/>
        <v>0</v>
      </c>
      <c r="J106" s="3">
        <f t="shared" si="10"/>
        <v>0</v>
      </c>
      <c r="K106" s="3">
        <f t="shared" si="11"/>
        <v>12</v>
      </c>
      <c r="L106" t="s">
        <v>8</v>
      </c>
      <c r="M106" t="s">
        <v>8</v>
      </c>
      <c r="N106" t="s">
        <v>8</v>
      </c>
      <c r="O106" t="s">
        <v>8</v>
      </c>
      <c r="P106" t="s">
        <v>7</v>
      </c>
      <c r="Q106" t="s">
        <v>8</v>
      </c>
      <c r="R106">
        <v>0</v>
      </c>
      <c r="S106">
        <v>0</v>
      </c>
      <c r="T106">
        <v>0</v>
      </c>
      <c r="U106">
        <v>0</v>
      </c>
      <c r="V106">
        <v>3.2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>
        <v>103</v>
      </c>
      <c r="B107" t="s">
        <v>764</v>
      </c>
      <c r="C107" t="s">
        <v>26</v>
      </c>
      <c r="E107">
        <v>0.3</v>
      </c>
      <c r="F107">
        <v>3</v>
      </c>
      <c r="G107" s="3">
        <f t="shared" si="7"/>
        <v>0</v>
      </c>
      <c r="H107" s="3">
        <f t="shared" si="8"/>
        <v>0</v>
      </c>
      <c r="I107" s="3">
        <f t="shared" si="9"/>
        <v>0</v>
      </c>
      <c r="J107" s="3">
        <f t="shared" si="10"/>
        <v>0</v>
      </c>
      <c r="K107" s="3">
        <f t="shared" si="11"/>
        <v>9</v>
      </c>
      <c r="L107" t="s">
        <v>8</v>
      </c>
      <c r="M107" t="s">
        <v>8</v>
      </c>
      <c r="N107">
        <v>0</v>
      </c>
      <c r="O107">
        <v>1.4</v>
      </c>
      <c r="P107" t="s">
        <v>8</v>
      </c>
      <c r="Q107">
        <v>0</v>
      </c>
      <c r="R107">
        <v>0</v>
      </c>
      <c r="S107">
        <v>1.6</v>
      </c>
      <c r="T107">
        <v>0</v>
      </c>
      <c r="U107">
        <v>0</v>
      </c>
      <c r="V107" t="s">
        <v>8</v>
      </c>
      <c r="W107" t="s">
        <v>7</v>
      </c>
      <c r="X107" t="s">
        <v>8</v>
      </c>
      <c r="Y107" t="s">
        <v>8</v>
      </c>
      <c r="Z107" t="s">
        <v>8</v>
      </c>
      <c r="AA107">
        <v>0</v>
      </c>
      <c r="AB107">
        <v>0</v>
      </c>
      <c r="AC107" t="s">
        <v>8</v>
      </c>
    </row>
    <row r="108" spans="1:29" x14ac:dyDescent="0.25">
      <c r="A108">
        <v>104</v>
      </c>
      <c r="B108" t="s">
        <v>797</v>
      </c>
      <c r="C108" t="s">
        <v>90</v>
      </c>
      <c r="E108">
        <v>0.3</v>
      </c>
      <c r="F108">
        <v>2.9</v>
      </c>
      <c r="G108" s="3">
        <f t="shared" si="7"/>
        <v>0</v>
      </c>
      <c r="H108" s="3">
        <f t="shared" si="8"/>
        <v>0</v>
      </c>
      <c r="I108" s="3">
        <f t="shared" si="9"/>
        <v>0</v>
      </c>
      <c r="J108" s="3">
        <f t="shared" si="10"/>
        <v>0</v>
      </c>
      <c r="K108" s="3">
        <f t="shared" si="11"/>
        <v>9</v>
      </c>
      <c r="L108">
        <v>0</v>
      </c>
      <c r="M108">
        <v>0</v>
      </c>
      <c r="N108">
        <v>0</v>
      </c>
      <c r="O108">
        <v>0</v>
      </c>
      <c r="P108" t="s">
        <v>8</v>
      </c>
      <c r="Q108">
        <v>0</v>
      </c>
      <c r="R108">
        <v>1.7</v>
      </c>
      <c r="S108">
        <v>0</v>
      </c>
      <c r="T108">
        <v>1.2</v>
      </c>
      <c r="U108" t="s">
        <v>8</v>
      </c>
      <c r="V108" t="s">
        <v>8</v>
      </c>
      <c r="W108" t="s">
        <v>8</v>
      </c>
      <c r="X108" t="s">
        <v>8</v>
      </c>
      <c r="Y108" t="s">
        <v>8</v>
      </c>
      <c r="Z108">
        <v>0</v>
      </c>
      <c r="AA108" t="s">
        <v>8</v>
      </c>
      <c r="AB108" t="s">
        <v>8</v>
      </c>
      <c r="AC108" t="s">
        <v>8</v>
      </c>
    </row>
    <row r="109" spans="1:29" x14ac:dyDescent="0.25">
      <c r="A109">
        <v>109</v>
      </c>
      <c r="B109" t="s">
        <v>800</v>
      </c>
      <c r="C109" t="s">
        <v>47</v>
      </c>
      <c r="E109">
        <v>0.3</v>
      </c>
      <c r="F109">
        <v>1.6</v>
      </c>
      <c r="G109" s="3">
        <f t="shared" si="7"/>
        <v>0</v>
      </c>
      <c r="H109" s="3">
        <f t="shared" si="8"/>
        <v>0</v>
      </c>
      <c r="I109" s="3">
        <f t="shared" si="9"/>
        <v>0</v>
      </c>
      <c r="J109" s="3">
        <f t="shared" si="10"/>
        <v>0</v>
      </c>
      <c r="K109" s="3">
        <f t="shared" si="11"/>
        <v>5</v>
      </c>
      <c r="L109" t="s">
        <v>8</v>
      </c>
      <c r="M109" t="s">
        <v>8</v>
      </c>
      <c r="N109" t="s">
        <v>8</v>
      </c>
      <c r="O109" t="s">
        <v>8</v>
      </c>
      <c r="P109" t="s">
        <v>7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 t="s">
        <v>8</v>
      </c>
      <c r="X109" t="s">
        <v>8</v>
      </c>
      <c r="Y109">
        <v>0</v>
      </c>
      <c r="Z109">
        <v>0</v>
      </c>
      <c r="AA109">
        <v>1.6</v>
      </c>
      <c r="AB109">
        <v>0</v>
      </c>
      <c r="AC109">
        <v>0</v>
      </c>
    </row>
    <row r="110" spans="1:29" x14ac:dyDescent="0.25">
      <c r="A110">
        <v>106</v>
      </c>
      <c r="B110" t="s">
        <v>752</v>
      </c>
      <c r="C110" t="s">
        <v>90</v>
      </c>
      <c r="E110">
        <v>0.2</v>
      </c>
      <c r="F110">
        <v>1.7</v>
      </c>
      <c r="G110" s="3">
        <f t="shared" si="7"/>
        <v>0</v>
      </c>
      <c r="H110" s="3">
        <f t="shared" si="8"/>
        <v>0</v>
      </c>
      <c r="I110" s="3">
        <f t="shared" si="9"/>
        <v>0</v>
      </c>
      <c r="J110" s="3">
        <f t="shared" si="10"/>
        <v>0</v>
      </c>
      <c r="K110" s="3">
        <f t="shared" si="11"/>
        <v>8</v>
      </c>
      <c r="L110" t="s">
        <v>8</v>
      </c>
      <c r="M110" t="s">
        <v>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1.7</v>
      </c>
      <c r="T110">
        <v>0</v>
      </c>
      <c r="U110" t="s">
        <v>8</v>
      </c>
      <c r="V110">
        <v>0</v>
      </c>
      <c r="W110" t="s">
        <v>8</v>
      </c>
      <c r="X110" t="s">
        <v>8</v>
      </c>
      <c r="Y110" t="s">
        <v>8</v>
      </c>
      <c r="Z110" t="s">
        <v>8</v>
      </c>
      <c r="AA110" t="s">
        <v>8</v>
      </c>
      <c r="AB110" t="s">
        <v>8</v>
      </c>
      <c r="AC110" t="s">
        <v>8</v>
      </c>
    </row>
    <row r="111" spans="1:29" x14ac:dyDescent="0.25">
      <c r="A111">
        <v>106</v>
      </c>
      <c r="B111" t="s">
        <v>798</v>
      </c>
      <c r="C111" t="s">
        <v>90</v>
      </c>
      <c r="E111">
        <v>0.2</v>
      </c>
      <c r="F111">
        <v>1.7</v>
      </c>
      <c r="G111" s="3">
        <f t="shared" si="7"/>
        <v>0</v>
      </c>
      <c r="H111" s="3">
        <f t="shared" si="8"/>
        <v>0</v>
      </c>
      <c r="I111" s="3">
        <f t="shared" si="9"/>
        <v>0</v>
      </c>
      <c r="J111" s="3">
        <f t="shared" si="10"/>
        <v>0</v>
      </c>
      <c r="K111" s="3">
        <f t="shared" si="11"/>
        <v>7</v>
      </c>
      <c r="L111" t="s">
        <v>8</v>
      </c>
      <c r="M111" t="s">
        <v>8</v>
      </c>
      <c r="N111" t="s">
        <v>8</v>
      </c>
      <c r="O111">
        <v>0</v>
      </c>
      <c r="P111">
        <v>0</v>
      </c>
      <c r="Q111">
        <v>0</v>
      </c>
      <c r="R111">
        <v>0</v>
      </c>
      <c r="S111">
        <v>1.7</v>
      </c>
      <c r="T111" t="s">
        <v>8</v>
      </c>
      <c r="U111" t="s">
        <v>8</v>
      </c>
      <c r="V111" t="s">
        <v>8</v>
      </c>
      <c r="W111" t="s">
        <v>8</v>
      </c>
      <c r="X111" t="s">
        <v>8</v>
      </c>
      <c r="Y111" t="s">
        <v>8</v>
      </c>
      <c r="Z111" t="s">
        <v>8</v>
      </c>
      <c r="AA111">
        <v>0</v>
      </c>
      <c r="AB111">
        <v>0</v>
      </c>
      <c r="AC111" t="s">
        <v>8</v>
      </c>
    </row>
    <row r="112" spans="1:29" x14ac:dyDescent="0.25">
      <c r="A112">
        <v>106</v>
      </c>
      <c r="B112" t="s">
        <v>799</v>
      </c>
      <c r="C112" t="s">
        <v>62</v>
      </c>
      <c r="E112">
        <v>0.2</v>
      </c>
      <c r="F112">
        <v>1.7</v>
      </c>
      <c r="G112" s="3">
        <f t="shared" si="7"/>
        <v>0</v>
      </c>
      <c r="H112" s="3">
        <f t="shared" si="8"/>
        <v>0</v>
      </c>
      <c r="I112" s="3">
        <f t="shared" si="9"/>
        <v>0</v>
      </c>
      <c r="J112" s="3">
        <f t="shared" si="10"/>
        <v>0</v>
      </c>
      <c r="K112" s="3">
        <f t="shared" si="11"/>
        <v>7</v>
      </c>
      <c r="L112">
        <v>0</v>
      </c>
      <c r="M112">
        <v>1.7</v>
      </c>
      <c r="N112">
        <v>0</v>
      </c>
      <c r="O112">
        <v>0</v>
      </c>
      <c r="P112">
        <v>0</v>
      </c>
      <c r="Q112" t="s">
        <v>7</v>
      </c>
      <c r="R112">
        <v>0</v>
      </c>
      <c r="S112">
        <v>0</v>
      </c>
      <c r="T112" t="s">
        <v>8</v>
      </c>
      <c r="U112" t="s">
        <v>8</v>
      </c>
      <c r="V112" t="s">
        <v>8</v>
      </c>
      <c r="W112" t="s">
        <v>8</v>
      </c>
      <c r="X112" t="s">
        <v>8</v>
      </c>
      <c r="Y112" t="s">
        <v>8</v>
      </c>
      <c r="Z112" t="s">
        <v>8</v>
      </c>
      <c r="AA112" t="s">
        <v>8</v>
      </c>
      <c r="AB112" t="s">
        <v>8</v>
      </c>
      <c r="AC112" t="s">
        <v>8</v>
      </c>
    </row>
    <row r="113" spans="1:29" x14ac:dyDescent="0.25">
      <c r="A113">
        <v>110</v>
      </c>
      <c r="B113" t="s">
        <v>802</v>
      </c>
      <c r="C113" t="s">
        <v>76</v>
      </c>
      <c r="E113">
        <v>0.1</v>
      </c>
      <c r="F113">
        <v>1.5</v>
      </c>
      <c r="G113" s="3">
        <f t="shared" si="7"/>
        <v>0</v>
      </c>
      <c r="H113" s="3">
        <f t="shared" si="8"/>
        <v>0</v>
      </c>
      <c r="I113" s="3">
        <f t="shared" si="9"/>
        <v>0</v>
      </c>
      <c r="J113" s="3">
        <f t="shared" si="10"/>
        <v>0</v>
      </c>
      <c r="K113" s="3">
        <f t="shared" si="11"/>
        <v>14</v>
      </c>
      <c r="L113">
        <v>0</v>
      </c>
      <c r="M113">
        <v>0</v>
      </c>
      <c r="N113">
        <v>0</v>
      </c>
      <c r="O113">
        <v>0</v>
      </c>
      <c r="P113" t="s">
        <v>8</v>
      </c>
      <c r="Q113">
        <v>0</v>
      </c>
      <c r="R113">
        <v>0</v>
      </c>
      <c r="S113">
        <v>0</v>
      </c>
      <c r="T113">
        <v>0</v>
      </c>
      <c r="U113" t="s">
        <v>8</v>
      </c>
      <c r="V113">
        <v>1.5</v>
      </c>
      <c r="W113" t="s">
        <v>8</v>
      </c>
      <c r="X113">
        <v>0</v>
      </c>
      <c r="Y113">
        <v>0</v>
      </c>
      <c r="Z113">
        <v>0</v>
      </c>
      <c r="AA113">
        <v>0</v>
      </c>
      <c r="AB113" t="s">
        <v>8</v>
      </c>
      <c r="AC113">
        <v>0</v>
      </c>
    </row>
    <row r="114" spans="1:29" x14ac:dyDescent="0.25">
      <c r="A114">
        <v>113</v>
      </c>
      <c r="B114" t="s">
        <v>757</v>
      </c>
      <c r="C114" t="s">
        <v>90</v>
      </c>
      <c r="E114">
        <v>0.1</v>
      </c>
      <c r="F114">
        <v>1.2</v>
      </c>
      <c r="G114" s="3">
        <f t="shared" si="7"/>
        <v>0</v>
      </c>
      <c r="H114" s="3">
        <f t="shared" si="8"/>
        <v>0</v>
      </c>
      <c r="I114" s="3">
        <f t="shared" si="9"/>
        <v>0</v>
      </c>
      <c r="J114" s="3">
        <f t="shared" si="10"/>
        <v>0</v>
      </c>
      <c r="K114" s="3">
        <f t="shared" si="11"/>
        <v>17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1.2</v>
      </c>
      <c r="R114" t="s">
        <v>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>
        <v>113</v>
      </c>
      <c r="B115" t="s">
        <v>804</v>
      </c>
      <c r="C115" t="s">
        <v>16</v>
      </c>
      <c r="E115">
        <v>0.1</v>
      </c>
      <c r="F115">
        <v>1.2</v>
      </c>
      <c r="G115" s="3">
        <f t="shared" si="7"/>
        <v>0</v>
      </c>
      <c r="H115" s="3">
        <f t="shared" si="8"/>
        <v>0</v>
      </c>
      <c r="I115" s="3">
        <f t="shared" si="9"/>
        <v>0</v>
      </c>
      <c r="J115" s="3">
        <f t="shared" si="10"/>
        <v>0</v>
      </c>
      <c r="K115" s="3">
        <f t="shared" si="11"/>
        <v>9</v>
      </c>
      <c r="L115" t="s">
        <v>8</v>
      </c>
      <c r="M115" t="s">
        <v>8</v>
      </c>
      <c r="N115" t="s">
        <v>8</v>
      </c>
      <c r="O115" t="s">
        <v>8</v>
      </c>
      <c r="P115" t="s">
        <v>8</v>
      </c>
      <c r="Q115" t="s">
        <v>8</v>
      </c>
      <c r="R115" t="s">
        <v>8</v>
      </c>
      <c r="S115">
        <v>0</v>
      </c>
      <c r="T115">
        <v>0</v>
      </c>
      <c r="U115" t="s">
        <v>7</v>
      </c>
      <c r="V115">
        <v>0</v>
      </c>
      <c r="W115">
        <v>1.2</v>
      </c>
      <c r="X115" t="s">
        <v>8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5">
      <c r="A116">
        <v>115</v>
      </c>
      <c r="B116" t="s">
        <v>768</v>
      </c>
      <c r="C116" t="s">
        <v>34</v>
      </c>
      <c r="E116">
        <v>0</v>
      </c>
      <c r="F116">
        <v>0</v>
      </c>
      <c r="G116" s="3">
        <f t="shared" si="7"/>
        <v>0</v>
      </c>
      <c r="H116" s="3">
        <f t="shared" si="8"/>
        <v>0</v>
      </c>
      <c r="I116" s="3">
        <f t="shared" si="9"/>
        <v>0</v>
      </c>
      <c r="J116" s="3">
        <f t="shared" si="10"/>
        <v>0</v>
      </c>
      <c r="K116" s="3">
        <f t="shared" si="11"/>
        <v>17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5">
      <c r="A117">
        <v>115</v>
      </c>
      <c r="B117" t="s">
        <v>805</v>
      </c>
      <c r="C117" t="s">
        <v>90</v>
      </c>
      <c r="E117">
        <v>0</v>
      </c>
      <c r="F117">
        <v>0</v>
      </c>
      <c r="G117" s="3">
        <f t="shared" si="7"/>
        <v>0</v>
      </c>
      <c r="H117" s="3">
        <f t="shared" si="8"/>
        <v>0</v>
      </c>
      <c r="I117" s="3">
        <f t="shared" si="9"/>
        <v>0</v>
      </c>
      <c r="J117" s="3">
        <f t="shared" si="10"/>
        <v>0</v>
      </c>
      <c r="K117" s="3">
        <f t="shared" si="11"/>
        <v>7</v>
      </c>
      <c r="L117">
        <v>0</v>
      </c>
      <c r="M117">
        <v>0</v>
      </c>
      <c r="N117">
        <v>0</v>
      </c>
      <c r="O117">
        <v>0</v>
      </c>
      <c r="P117" t="s">
        <v>8</v>
      </c>
      <c r="Q117">
        <v>0</v>
      </c>
      <c r="R117">
        <v>0</v>
      </c>
      <c r="S117">
        <v>0</v>
      </c>
      <c r="T117" t="s">
        <v>8</v>
      </c>
      <c r="U117" t="s">
        <v>8</v>
      </c>
      <c r="V117" t="s">
        <v>8</v>
      </c>
      <c r="W117" t="s">
        <v>8</v>
      </c>
      <c r="X117" t="s">
        <v>8</v>
      </c>
      <c r="Y117" t="s">
        <v>8</v>
      </c>
      <c r="Z117" t="s">
        <v>8</v>
      </c>
      <c r="AA117" t="s">
        <v>8</v>
      </c>
      <c r="AB117" t="s">
        <v>8</v>
      </c>
      <c r="AC117" t="s">
        <v>8</v>
      </c>
    </row>
    <row r="118" spans="1:29" x14ac:dyDescent="0.25">
      <c r="A118">
        <v>115</v>
      </c>
      <c r="B118" t="s">
        <v>774</v>
      </c>
      <c r="C118" t="s">
        <v>36</v>
      </c>
      <c r="E118">
        <v>0</v>
      </c>
      <c r="F118">
        <v>0</v>
      </c>
      <c r="G118" s="3">
        <f t="shared" si="7"/>
        <v>0</v>
      </c>
      <c r="H118" s="3">
        <f t="shared" si="8"/>
        <v>0</v>
      </c>
      <c r="I118" s="3">
        <f t="shared" si="9"/>
        <v>0</v>
      </c>
      <c r="J118" s="3">
        <f t="shared" si="10"/>
        <v>0</v>
      </c>
      <c r="K118" s="3">
        <f t="shared" si="11"/>
        <v>1</v>
      </c>
      <c r="L118" t="s">
        <v>8</v>
      </c>
      <c r="M118" t="s">
        <v>8</v>
      </c>
      <c r="N118" t="s">
        <v>8</v>
      </c>
      <c r="O118" t="s">
        <v>8</v>
      </c>
      <c r="P118" t="s">
        <v>8</v>
      </c>
      <c r="Q118" t="s">
        <v>8</v>
      </c>
      <c r="R118" t="s">
        <v>8</v>
      </c>
      <c r="S118" t="s">
        <v>8</v>
      </c>
      <c r="T118" t="s">
        <v>8</v>
      </c>
      <c r="U118" t="s">
        <v>8</v>
      </c>
      <c r="V118">
        <v>0</v>
      </c>
      <c r="W118" t="s">
        <v>8</v>
      </c>
      <c r="X118" t="s">
        <v>8</v>
      </c>
      <c r="Y118" t="s">
        <v>8</v>
      </c>
      <c r="Z118" t="s">
        <v>8</v>
      </c>
      <c r="AA118" t="s">
        <v>8</v>
      </c>
      <c r="AB118" t="s">
        <v>8</v>
      </c>
      <c r="AC118" t="s">
        <v>8</v>
      </c>
    </row>
    <row r="119" spans="1:29" x14ac:dyDescent="0.25">
      <c r="A119">
        <v>115</v>
      </c>
      <c r="B119" t="s">
        <v>745</v>
      </c>
      <c r="C119" t="s">
        <v>36</v>
      </c>
      <c r="E119">
        <v>0</v>
      </c>
      <c r="F119">
        <v>0</v>
      </c>
      <c r="G119" s="3">
        <f t="shared" si="7"/>
        <v>0</v>
      </c>
      <c r="H119" s="3">
        <f t="shared" si="8"/>
        <v>0</v>
      </c>
      <c r="I119" s="3">
        <f t="shared" si="9"/>
        <v>0</v>
      </c>
      <c r="J119" s="3">
        <f t="shared" si="10"/>
        <v>0</v>
      </c>
      <c r="K119" s="3">
        <f t="shared" si="11"/>
        <v>1</v>
      </c>
      <c r="L119" t="s">
        <v>8</v>
      </c>
      <c r="M119" t="s">
        <v>8</v>
      </c>
      <c r="N119" t="s">
        <v>8</v>
      </c>
      <c r="O119" t="s">
        <v>8</v>
      </c>
      <c r="P119" t="s">
        <v>8</v>
      </c>
      <c r="Q119" t="s">
        <v>8</v>
      </c>
      <c r="R119" t="s">
        <v>8</v>
      </c>
      <c r="S119" t="s">
        <v>8</v>
      </c>
      <c r="T119" t="s">
        <v>8</v>
      </c>
      <c r="U119" t="s">
        <v>8</v>
      </c>
      <c r="V119" t="s">
        <v>7</v>
      </c>
      <c r="W119" t="s">
        <v>8</v>
      </c>
      <c r="X119">
        <v>0</v>
      </c>
      <c r="Y119" t="s">
        <v>8</v>
      </c>
      <c r="Z119" t="s">
        <v>8</v>
      </c>
      <c r="AA119" t="s">
        <v>8</v>
      </c>
      <c r="AB119" t="s">
        <v>8</v>
      </c>
      <c r="AC119" t="s">
        <v>8</v>
      </c>
    </row>
    <row r="120" spans="1:29" x14ac:dyDescent="0.25">
      <c r="A120">
        <v>115</v>
      </c>
      <c r="B120" t="s">
        <v>806</v>
      </c>
      <c r="C120" t="s">
        <v>64</v>
      </c>
      <c r="E120">
        <v>0</v>
      </c>
      <c r="F120">
        <v>0</v>
      </c>
      <c r="G120" s="3">
        <f t="shared" si="7"/>
        <v>0</v>
      </c>
      <c r="H120" s="3">
        <f t="shared" si="8"/>
        <v>0</v>
      </c>
      <c r="I120" s="3">
        <f t="shared" si="9"/>
        <v>0</v>
      </c>
      <c r="J120" s="3">
        <f t="shared" si="10"/>
        <v>0</v>
      </c>
      <c r="K120" s="3">
        <f t="shared" si="11"/>
        <v>5</v>
      </c>
      <c r="L120" t="s">
        <v>8</v>
      </c>
      <c r="M120" t="s">
        <v>8</v>
      </c>
      <c r="N120" t="s">
        <v>8</v>
      </c>
      <c r="O120" t="s">
        <v>8</v>
      </c>
      <c r="P120" t="s">
        <v>8</v>
      </c>
      <c r="Q120" t="s">
        <v>8</v>
      </c>
      <c r="R120" t="s">
        <v>7</v>
      </c>
      <c r="S120" t="s">
        <v>8</v>
      </c>
      <c r="T120" t="s">
        <v>8</v>
      </c>
      <c r="U120" t="s">
        <v>8</v>
      </c>
      <c r="V120">
        <v>0</v>
      </c>
      <c r="W120" t="s">
        <v>8</v>
      </c>
      <c r="X120">
        <v>0</v>
      </c>
      <c r="Y120">
        <v>0</v>
      </c>
      <c r="Z120">
        <v>0</v>
      </c>
      <c r="AA120">
        <v>0</v>
      </c>
      <c r="AB120" t="s">
        <v>8</v>
      </c>
      <c r="AC120" t="s">
        <v>8</v>
      </c>
    </row>
    <row r="121" spans="1:29" x14ac:dyDescent="0.25">
      <c r="A121">
        <v>115</v>
      </c>
      <c r="B121" t="s">
        <v>807</v>
      </c>
      <c r="C121" t="s">
        <v>57</v>
      </c>
      <c r="E121">
        <v>0</v>
      </c>
      <c r="F121">
        <v>0</v>
      </c>
      <c r="G121" s="3">
        <f t="shared" si="7"/>
        <v>0</v>
      </c>
      <c r="H121" s="3">
        <f t="shared" si="8"/>
        <v>0</v>
      </c>
      <c r="I121" s="3">
        <f t="shared" si="9"/>
        <v>0</v>
      </c>
      <c r="J121" s="3">
        <f t="shared" si="10"/>
        <v>0</v>
      </c>
      <c r="K121" s="3">
        <f t="shared" si="11"/>
        <v>2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  <c r="Q121" t="s">
        <v>8</v>
      </c>
      <c r="R121" t="s">
        <v>8</v>
      </c>
      <c r="S121" t="s">
        <v>8</v>
      </c>
      <c r="T121" t="s">
        <v>8</v>
      </c>
      <c r="U121" t="s">
        <v>8</v>
      </c>
      <c r="V121" t="s">
        <v>8</v>
      </c>
      <c r="W121">
        <v>0</v>
      </c>
      <c r="X121" t="s">
        <v>8</v>
      </c>
      <c r="Y121" t="s">
        <v>7</v>
      </c>
      <c r="Z121" t="s">
        <v>8</v>
      </c>
      <c r="AA121" t="s">
        <v>8</v>
      </c>
      <c r="AB121" t="s">
        <v>8</v>
      </c>
      <c r="AC121">
        <v>0</v>
      </c>
    </row>
    <row r="122" spans="1:29" x14ac:dyDescent="0.25">
      <c r="A122">
        <v>115</v>
      </c>
      <c r="B122" t="s">
        <v>736</v>
      </c>
      <c r="C122" t="s">
        <v>32</v>
      </c>
      <c r="E122">
        <v>0</v>
      </c>
      <c r="F122">
        <v>0</v>
      </c>
      <c r="G122" s="3">
        <f t="shared" si="7"/>
        <v>0</v>
      </c>
      <c r="H122" s="3">
        <f t="shared" si="8"/>
        <v>0</v>
      </c>
      <c r="I122" s="3">
        <f t="shared" si="9"/>
        <v>0</v>
      </c>
      <c r="J122" s="3">
        <f t="shared" si="10"/>
        <v>0</v>
      </c>
      <c r="K122" s="3">
        <f t="shared" si="11"/>
        <v>5</v>
      </c>
      <c r="L122" t="s">
        <v>8</v>
      </c>
      <c r="M122" t="s">
        <v>8</v>
      </c>
      <c r="N122" t="s">
        <v>8</v>
      </c>
      <c r="O122" t="s">
        <v>8</v>
      </c>
      <c r="P122" t="s">
        <v>8</v>
      </c>
      <c r="Q122" t="s">
        <v>8</v>
      </c>
      <c r="R122" t="s">
        <v>8</v>
      </c>
      <c r="S122" t="s">
        <v>8</v>
      </c>
      <c r="T122" t="s">
        <v>8</v>
      </c>
      <c r="U122" t="s">
        <v>8</v>
      </c>
      <c r="V122" t="s">
        <v>8</v>
      </c>
      <c r="W122" t="s">
        <v>8</v>
      </c>
      <c r="X122">
        <v>0</v>
      </c>
      <c r="Y122" t="s">
        <v>7</v>
      </c>
      <c r="Z122">
        <v>0</v>
      </c>
      <c r="AA122">
        <v>0</v>
      </c>
      <c r="AB122">
        <v>0</v>
      </c>
      <c r="AC122">
        <v>0</v>
      </c>
    </row>
    <row r="123" spans="1:29" x14ac:dyDescent="0.25">
      <c r="A123">
        <v>115</v>
      </c>
      <c r="B123" t="s">
        <v>808</v>
      </c>
      <c r="C123" t="s">
        <v>12</v>
      </c>
      <c r="E123">
        <v>0</v>
      </c>
      <c r="F123">
        <v>0</v>
      </c>
      <c r="G123" s="3">
        <f t="shared" si="7"/>
        <v>0</v>
      </c>
      <c r="H123" s="3">
        <f t="shared" si="8"/>
        <v>0</v>
      </c>
      <c r="I123" s="3">
        <f t="shared" si="9"/>
        <v>0</v>
      </c>
      <c r="J123" s="3">
        <f t="shared" si="10"/>
        <v>0</v>
      </c>
      <c r="K123" s="3">
        <f t="shared" si="11"/>
        <v>1</v>
      </c>
      <c r="L123" t="s">
        <v>8</v>
      </c>
      <c r="M123" t="s">
        <v>8</v>
      </c>
      <c r="N123" t="s">
        <v>8</v>
      </c>
      <c r="O123" t="s">
        <v>8</v>
      </c>
      <c r="P123" t="s">
        <v>8</v>
      </c>
      <c r="Q123" t="s">
        <v>8</v>
      </c>
      <c r="R123" t="s">
        <v>8</v>
      </c>
      <c r="S123" t="s">
        <v>8</v>
      </c>
      <c r="T123" t="s">
        <v>8</v>
      </c>
      <c r="U123" t="s">
        <v>8</v>
      </c>
      <c r="V123" t="s">
        <v>8</v>
      </c>
      <c r="W123" t="s">
        <v>8</v>
      </c>
      <c r="X123" t="s">
        <v>8</v>
      </c>
      <c r="Y123">
        <v>0</v>
      </c>
      <c r="Z123" t="s">
        <v>8</v>
      </c>
      <c r="AA123" t="s">
        <v>8</v>
      </c>
      <c r="AB123" t="s">
        <v>8</v>
      </c>
      <c r="AC123" t="s">
        <v>8</v>
      </c>
    </row>
    <row r="124" spans="1:29" x14ac:dyDescent="0.25">
      <c r="A124">
        <v>115</v>
      </c>
      <c r="B124" t="s">
        <v>809</v>
      </c>
      <c r="C124" t="s">
        <v>40</v>
      </c>
      <c r="E124">
        <v>0</v>
      </c>
      <c r="F124">
        <v>0</v>
      </c>
      <c r="G124" s="3">
        <f t="shared" si="7"/>
        <v>0</v>
      </c>
      <c r="H124" s="3">
        <f t="shared" si="8"/>
        <v>0</v>
      </c>
      <c r="I124" s="3">
        <f t="shared" si="9"/>
        <v>0</v>
      </c>
      <c r="J124" s="3">
        <f t="shared" si="10"/>
        <v>0</v>
      </c>
      <c r="K124" s="3">
        <f t="shared" si="11"/>
        <v>1</v>
      </c>
      <c r="L124" t="s">
        <v>8</v>
      </c>
      <c r="M124" t="s">
        <v>8</v>
      </c>
      <c r="N124" t="s">
        <v>8</v>
      </c>
      <c r="O124" t="s">
        <v>8</v>
      </c>
      <c r="P124" t="s">
        <v>8</v>
      </c>
      <c r="Q124" t="s">
        <v>8</v>
      </c>
      <c r="R124" t="s">
        <v>8</v>
      </c>
      <c r="S124" t="s">
        <v>8</v>
      </c>
      <c r="T124" t="s">
        <v>8</v>
      </c>
      <c r="U124" t="s">
        <v>8</v>
      </c>
      <c r="V124" t="s">
        <v>8</v>
      </c>
      <c r="W124" t="s">
        <v>7</v>
      </c>
      <c r="X124" t="s">
        <v>8</v>
      </c>
      <c r="Y124" t="s">
        <v>8</v>
      </c>
      <c r="Z124">
        <v>0</v>
      </c>
      <c r="AA124" t="s">
        <v>8</v>
      </c>
      <c r="AB124" t="s">
        <v>8</v>
      </c>
      <c r="AC124" t="s">
        <v>8</v>
      </c>
    </row>
    <row r="125" spans="1:29" x14ac:dyDescent="0.25">
      <c r="A125">
        <v>115</v>
      </c>
      <c r="B125" t="s">
        <v>810</v>
      </c>
      <c r="C125" t="s">
        <v>47</v>
      </c>
      <c r="E125">
        <v>0</v>
      </c>
      <c r="F125">
        <v>0</v>
      </c>
      <c r="G125" s="3">
        <f t="shared" si="7"/>
        <v>0</v>
      </c>
      <c r="H125" s="3">
        <f t="shared" si="8"/>
        <v>0</v>
      </c>
      <c r="I125" s="3">
        <f t="shared" si="9"/>
        <v>0</v>
      </c>
      <c r="J125" s="3">
        <f t="shared" si="10"/>
        <v>0</v>
      </c>
      <c r="K125" s="3">
        <f t="shared" si="11"/>
        <v>1</v>
      </c>
      <c r="L125" t="s">
        <v>8</v>
      </c>
      <c r="M125" t="s">
        <v>8</v>
      </c>
      <c r="N125" t="s">
        <v>8</v>
      </c>
      <c r="O125" t="s">
        <v>8</v>
      </c>
      <c r="P125" t="s">
        <v>7</v>
      </c>
      <c r="Q125" t="s">
        <v>8</v>
      </c>
      <c r="R125" t="s">
        <v>8</v>
      </c>
      <c r="S125" t="s">
        <v>8</v>
      </c>
      <c r="T125" t="s">
        <v>8</v>
      </c>
      <c r="U125" t="s">
        <v>8</v>
      </c>
      <c r="V125" t="s">
        <v>8</v>
      </c>
      <c r="W125" t="s">
        <v>8</v>
      </c>
      <c r="X125" t="s">
        <v>8</v>
      </c>
      <c r="Y125" t="s">
        <v>8</v>
      </c>
      <c r="Z125">
        <v>0</v>
      </c>
      <c r="AA125" t="s">
        <v>8</v>
      </c>
      <c r="AB125" t="s">
        <v>8</v>
      </c>
      <c r="AC125" t="s">
        <v>8</v>
      </c>
    </row>
    <row r="126" spans="1:29" x14ac:dyDescent="0.25">
      <c r="A126">
        <v>115</v>
      </c>
      <c r="B126" t="s">
        <v>811</v>
      </c>
      <c r="C126" t="s">
        <v>30</v>
      </c>
      <c r="E126">
        <v>0</v>
      </c>
      <c r="F126">
        <v>0</v>
      </c>
      <c r="G126" s="3">
        <f t="shared" si="7"/>
        <v>0</v>
      </c>
      <c r="H126" s="3">
        <f t="shared" si="8"/>
        <v>0</v>
      </c>
      <c r="I126" s="3">
        <f t="shared" si="9"/>
        <v>0</v>
      </c>
      <c r="J126" s="3">
        <f t="shared" si="10"/>
        <v>0</v>
      </c>
      <c r="K126" s="3">
        <f t="shared" si="11"/>
        <v>2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  <c r="Q126" t="s">
        <v>8</v>
      </c>
      <c r="R126" t="s">
        <v>8</v>
      </c>
      <c r="S126" t="s">
        <v>8</v>
      </c>
      <c r="T126" t="s">
        <v>8</v>
      </c>
      <c r="U126" t="s">
        <v>8</v>
      </c>
      <c r="V126" t="s">
        <v>8</v>
      </c>
      <c r="W126" t="s">
        <v>7</v>
      </c>
      <c r="X126" t="s">
        <v>8</v>
      </c>
      <c r="Y126" t="s">
        <v>8</v>
      </c>
      <c r="Z126" t="s">
        <v>8</v>
      </c>
      <c r="AA126">
        <v>0</v>
      </c>
      <c r="AB126">
        <v>0</v>
      </c>
      <c r="AC126" t="s">
        <v>8</v>
      </c>
    </row>
    <row r="127" spans="1:29" x14ac:dyDescent="0.25">
      <c r="A127">
        <v>115</v>
      </c>
      <c r="B127" t="s">
        <v>812</v>
      </c>
      <c r="C127" t="s">
        <v>69</v>
      </c>
      <c r="E127">
        <v>0</v>
      </c>
      <c r="F127">
        <v>0</v>
      </c>
      <c r="G127" s="3">
        <f t="shared" si="7"/>
        <v>0</v>
      </c>
      <c r="H127" s="3">
        <f t="shared" si="8"/>
        <v>0</v>
      </c>
      <c r="I127" s="3">
        <f t="shared" si="9"/>
        <v>0</v>
      </c>
      <c r="J127" s="3">
        <f t="shared" si="10"/>
        <v>0</v>
      </c>
      <c r="K127" s="3">
        <f t="shared" si="11"/>
        <v>6</v>
      </c>
      <c r="L127" t="s">
        <v>8</v>
      </c>
      <c r="M127">
        <v>0</v>
      </c>
      <c r="N127">
        <v>0</v>
      </c>
      <c r="O127">
        <v>0</v>
      </c>
      <c r="P127">
        <v>0</v>
      </c>
      <c r="Q127" t="s">
        <v>8</v>
      </c>
      <c r="R127" t="s">
        <v>8</v>
      </c>
      <c r="S127" t="s">
        <v>8</v>
      </c>
      <c r="T127" t="s">
        <v>8</v>
      </c>
      <c r="U127" t="s">
        <v>7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8</v>
      </c>
      <c r="AB127">
        <v>0</v>
      </c>
      <c r="AC127">
        <v>0</v>
      </c>
    </row>
    <row r="128" spans="1:29" x14ac:dyDescent="0.25">
      <c r="A128">
        <v>115</v>
      </c>
      <c r="B128" t="s">
        <v>813</v>
      </c>
      <c r="C128" t="s">
        <v>90</v>
      </c>
      <c r="E128">
        <v>0</v>
      </c>
      <c r="F128">
        <v>0</v>
      </c>
      <c r="G128" s="3">
        <f t="shared" si="7"/>
        <v>0</v>
      </c>
      <c r="H128" s="3">
        <f t="shared" si="8"/>
        <v>0</v>
      </c>
      <c r="I128" s="3">
        <f t="shared" si="9"/>
        <v>0</v>
      </c>
      <c r="J128" s="3">
        <f t="shared" si="10"/>
        <v>0</v>
      </c>
      <c r="K128" s="3">
        <f t="shared" si="11"/>
        <v>3</v>
      </c>
      <c r="L128">
        <v>0</v>
      </c>
      <c r="M128">
        <v>0</v>
      </c>
      <c r="N128" t="s">
        <v>8</v>
      </c>
      <c r="O128" t="s">
        <v>8</v>
      </c>
      <c r="P128" t="s">
        <v>8</v>
      </c>
      <c r="Q128" t="s">
        <v>8</v>
      </c>
      <c r="R128" t="s">
        <v>8</v>
      </c>
      <c r="S128" t="s">
        <v>8</v>
      </c>
      <c r="T128">
        <v>0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8</v>
      </c>
      <c r="AB128" t="s">
        <v>8</v>
      </c>
      <c r="AC128" t="s">
        <v>8</v>
      </c>
    </row>
    <row r="129" spans="1:29" x14ac:dyDescent="0.25">
      <c r="A129">
        <v>115</v>
      </c>
      <c r="B129" t="s">
        <v>814</v>
      </c>
      <c r="C129" t="s">
        <v>6</v>
      </c>
      <c r="E129">
        <v>0</v>
      </c>
      <c r="F129">
        <v>0</v>
      </c>
      <c r="G129" s="3">
        <f t="shared" si="7"/>
        <v>0</v>
      </c>
      <c r="H129" s="3">
        <f t="shared" si="8"/>
        <v>0</v>
      </c>
      <c r="I129" s="3">
        <f t="shared" si="9"/>
        <v>0</v>
      </c>
      <c r="J129" s="3">
        <f t="shared" si="10"/>
        <v>0</v>
      </c>
      <c r="K129" s="3">
        <f t="shared" si="11"/>
        <v>4</v>
      </c>
      <c r="L129">
        <v>0</v>
      </c>
      <c r="M129">
        <v>0</v>
      </c>
      <c r="N129" t="s">
        <v>8</v>
      </c>
      <c r="O129" t="s">
        <v>8</v>
      </c>
      <c r="P129" t="s">
        <v>7</v>
      </c>
      <c r="Q129" t="s">
        <v>8</v>
      </c>
      <c r="R129" t="s">
        <v>8</v>
      </c>
      <c r="S129" t="s">
        <v>8</v>
      </c>
      <c r="T129" t="s">
        <v>8</v>
      </c>
      <c r="U129" t="s">
        <v>8</v>
      </c>
      <c r="V129" t="s">
        <v>8</v>
      </c>
      <c r="W129">
        <v>0</v>
      </c>
      <c r="X129">
        <v>0</v>
      </c>
      <c r="Y129" t="s">
        <v>8</v>
      </c>
      <c r="Z129" t="s">
        <v>8</v>
      </c>
      <c r="AA129" t="s">
        <v>8</v>
      </c>
      <c r="AB129" t="s">
        <v>8</v>
      </c>
      <c r="AC129" t="s">
        <v>8</v>
      </c>
    </row>
    <row r="130" spans="1:29" x14ac:dyDescent="0.25">
      <c r="A130">
        <v>115</v>
      </c>
      <c r="B130" t="s">
        <v>815</v>
      </c>
      <c r="C130" t="s">
        <v>36</v>
      </c>
      <c r="E130">
        <v>0</v>
      </c>
      <c r="F130">
        <v>0</v>
      </c>
      <c r="G130" s="3">
        <f t="shared" ref="G130:G193" si="12">COUNTIFS(L130:AC130,"&gt;=10",L130:AC130,"&lt;=99")</f>
        <v>0</v>
      </c>
      <c r="H130" s="3">
        <f t="shared" ref="H130:H193" si="13">COUNTIFS(L130:AC130,"&gt;=15",L130:AC130,"&lt;=99")</f>
        <v>0</v>
      </c>
      <c r="I130" s="3">
        <f t="shared" ref="I130:I193" si="14">COUNTIFS(L130:AC130,"&gt;=20",L130:AC130,"&lt;=99")</f>
        <v>0</v>
      </c>
      <c r="J130" s="3">
        <f t="shared" ref="J130:J193" si="15">COUNTIFS(L130:AC130,"&gt;=30",L130:AC130,"&lt;=99")</f>
        <v>0</v>
      </c>
      <c r="K130" s="3">
        <f t="shared" ref="K130:K193" si="16">COUNT(L130:AC130)</f>
        <v>2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  <c r="Q130" t="s">
        <v>8</v>
      </c>
      <c r="R130" t="s">
        <v>8</v>
      </c>
      <c r="S130" t="s">
        <v>8</v>
      </c>
      <c r="T130" t="s">
        <v>8</v>
      </c>
      <c r="U130" t="s">
        <v>8</v>
      </c>
      <c r="V130">
        <v>0</v>
      </c>
      <c r="W130">
        <v>0</v>
      </c>
      <c r="X130" t="s">
        <v>8</v>
      </c>
      <c r="Y130" t="s">
        <v>8</v>
      </c>
      <c r="Z130" t="s">
        <v>8</v>
      </c>
      <c r="AA130" t="s">
        <v>8</v>
      </c>
      <c r="AB130" t="s">
        <v>8</v>
      </c>
      <c r="AC130" t="s">
        <v>8</v>
      </c>
    </row>
    <row r="131" spans="1:29" x14ac:dyDescent="0.25">
      <c r="A131">
        <v>115</v>
      </c>
      <c r="B131" t="s">
        <v>728</v>
      </c>
      <c r="C131" t="s">
        <v>40</v>
      </c>
      <c r="E131">
        <v>0</v>
      </c>
      <c r="F131">
        <v>0</v>
      </c>
      <c r="G131" s="3">
        <f t="shared" si="12"/>
        <v>0</v>
      </c>
      <c r="H131" s="3">
        <f t="shared" si="13"/>
        <v>0</v>
      </c>
      <c r="I131" s="3">
        <f t="shared" si="14"/>
        <v>0</v>
      </c>
      <c r="J131" s="3">
        <f t="shared" si="15"/>
        <v>0</v>
      </c>
      <c r="K131" s="3">
        <f t="shared" si="16"/>
        <v>4</v>
      </c>
      <c r="L131" t="s">
        <v>8</v>
      </c>
      <c r="M131" t="s">
        <v>8</v>
      </c>
      <c r="N131" t="s">
        <v>8</v>
      </c>
      <c r="O131" t="s">
        <v>8</v>
      </c>
      <c r="P131">
        <v>0</v>
      </c>
      <c r="Q131">
        <v>0</v>
      </c>
      <c r="R131">
        <v>0</v>
      </c>
      <c r="S131" t="s">
        <v>8</v>
      </c>
      <c r="T131" t="s">
        <v>8</v>
      </c>
      <c r="U131" t="s">
        <v>8</v>
      </c>
      <c r="V131" t="s">
        <v>8</v>
      </c>
      <c r="W131" t="s">
        <v>7</v>
      </c>
      <c r="X131" t="s">
        <v>8</v>
      </c>
      <c r="Y131" t="s">
        <v>8</v>
      </c>
      <c r="Z131" t="s">
        <v>8</v>
      </c>
      <c r="AA131">
        <v>0</v>
      </c>
      <c r="AB131" t="s">
        <v>8</v>
      </c>
      <c r="AC131" t="s">
        <v>8</v>
      </c>
    </row>
    <row r="132" spans="1:29" x14ac:dyDescent="0.25">
      <c r="A132">
        <v>115</v>
      </c>
      <c r="B132" t="s">
        <v>751</v>
      </c>
      <c r="C132" t="s">
        <v>90</v>
      </c>
      <c r="E132">
        <v>0</v>
      </c>
      <c r="F132">
        <v>0</v>
      </c>
      <c r="G132" s="3">
        <f t="shared" si="12"/>
        <v>0</v>
      </c>
      <c r="H132" s="3">
        <f t="shared" si="13"/>
        <v>0</v>
      </c>
      <c r="I132" s="3">
        <f t="shared" si="14"/>
        <v>0</v>
      </c>
      <c r="J132" s="3">
        <f t="shared" si="15"/>
        <v>0</v>
      </c>
      <c r="K132" s="3">
        <f t="shared" si="16"/>
        <v>7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  <c r="Q132" t="s">
        <v>8</v>
      </c>
      <c r="R132" t="s">
        <v>8</v>
      </c>
      <c r="S132" t="s">
        <v>8</v>
      </c>
      <c r="T132" t="s">
        <v>8</v>
      </c>
      <c r="U132" t="s">
        <v>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8</v>
      </c>
    </row>
    <row r="133" spans="1:29" x14ac:dyDescent="0.25">
      <c r="A133">
        <v>115</v>
      </c>
      <c r="B133" t="s">
        <v>816</v>
      </c>
      <c r="C133" t="s">
        <v>28</v>
      </c>
      <c r="E133">
        <v>0</v>
      </c>
      <c r="F133">
        <v>0</v>
      </c>
      <c r="G133" s="3">
        <f t="shared" si="12"/>
        <v>0</v>
      </c>
      <c r="H133" s="3">
        <f t="shared" si="13"/>
        <v>0</v>
      </c>
      <c r="I133" s="3">
        <f t="shared" si="14"/>
        <v>0</v>
      </c>
      <c r="J133" s="3">
        <f t="shared" si="15"/>
        <v>0</v>
      </c>
      <c r="K133" s="3">
        <f t="shared" si="16"/>
        <v>1</v>
      </c>
      <c r="L133" t="s">
        <v>8</v>
      </c>
      <c r="M133" t="s">
        <v>8</v>
      </c>
      <c r="N133" t="s">
        <v>8</v>
      </c>
      <c r="O133">
        <v>0</v>
      </c>
      <c r="P133" t="s">
        <v>8</v>
      </c>
      <c r="Q133" t="s">
        <v>8</v>
      </c>
      <c r="R133" t="s">
        <v>8</v>
      </c>
      <c r="S133" t="s">
        <v>8</v>
      </c>
      <c r="T133" t="s">
        <v>8</v>
      </c>
      <c r="U133" t="s">
        <v>8</v>
      </c>
      <c r="V133" t="s">
        <v>7</v>
      </c>
      <c r="W133" t="s">
        <v>8</v>
      </c>
      <c r="X133" t="s">
        <v>8</v>
      </c>
      <c r="Y133" t="s">
        <v>8</v>
      </c>
      <c r="Z133" t="s">
        <v>8</v>
      </c>
      <c r="AA133" t="s">
        <v>8</v>
      </c>
      <c r="AB133" t="s">
        <v>8</v>
      </c>
      <c r="AC133" t="s">
        <v>8</v>
      </c>
    </row>
    <row r="134" spans="1:29" x14ac:dyDescent="0.25">
      <c r="A134">
        <v>115</v>
      </c>
      <c r="B134" t="s">
        <v>753</v>
      </c>
      <c r="C134" t="s">
        <v>90</v>
      </c>
      <c r="E134">
        <v>0</v>
      </c>
      <c r="F134">
        <v>0</v>
      </c>
      <c r="G134" s="3">
        <f t="shared" si="12"/>
        <v>0</v>
      </c>
      <c r="H134" s="3">
        <f t="shared" si="13"/>
        <v>0</v>
      </c>
      <c r="I134" s="3">
        <f t="shared" si="14"/>
        <v>0</v>
      </c>
      <c r="J134" s="3">
        <f t="shared" si="15"/>
        <v>0</v>
      </c>
      <c r="K134" s="3">
        <f t="shared" si="16"/>
        <v>1</v>
      </c>
      <c r="L134" t="s">
        <v>8</v>
      </c>
      <c r="M134" t="s">
        <v>8</v>
      </c>
      <c r="N134" t="s">
        <v>8</v>
      </c>
      <c r="O134" t="s">
        <v>8</v>
      </c>
      <c r="P134" t="s">
        <v>8</v>
      </c>
      <c r="Q134" t="s">
        <v>8</v>
      </c>
      <c r="R134" t="s">
        <v>8</v>
      </c>
      <c r="S134" t="s">
        <v>8</v>
      </c>
      <c r="T134" t="s">
        <v>8</v>
      </c>
      <c r="U134">
        <v>0</v>
      </c>
      <c r="V134" t="s">
        <v>8</v>
      </c>
      <c r="W134" t="s">
        <v>8</v>
      </c>
      <c r="X134" t="s">
        <v>8</v>
      </c>
      <c r="Y134" t="s">
        <v>8</v>
      </c>
      <c r="Z134" t="s">
        <v>8</v>
      </c>
      <c r="AA134" t="s">
        <v>8</v>
      </c>
      <c r="AB134" t="s">
        <v>8</v>
      </c>
      <c r="AC134" t="s">
        <v>8</v>
      </c>
    </row>
    <row r="135" spans="1:29" x14ac:dyDescent="0.25">
      <c r="A135">
        <v>115</v>
      </c>
      <c r="B135" t="s">
        <v>817</v>
      </c>
      <c r="C135" t="s">
        <v>62</v>
      </c>
      <c r="E135">
        <v>0</v>
      </c>
      <c r="F135">
        <v>0</v>
      </c>
      <c r="G135" s="3">
        <f t="shared" si="12"/>
        <v>0</v>
      </c>
      <c r="H135" s="3">
        <f t="shared" si="13"/>
        <v>0</v>
      </c>
      <c r="I135" s="3">
        <f t="shared" si="14"/>
        <v>0</v>
      </c>
      <c r="J135" s="3">
        <f t="shared" si="15"/>
        <v>0</v>
      </c>
      <c r="K135" s="3">
        <f t="shared" si="16"/>
        <v>2</v>
      </c>
      <c r="L135" t="s">
        <v>8</v>
      </c>
      <c r="M135" t="s">
        <v>8</v>
      </c>
      <c r="N135">
        <v>0</v>
      </c>
      <c r="O135" t="s">
        <v>8</v>
      </c>
      <c r="P135" t="s">
        <v>8</v>
      </c>
      <c r="Q135" t="s">
        <v>7</v>
      </c>
      <c r="R135" t="s">
        <v>8</v>
      </c>
      <c r="S135" t="s">
        <v>8</v>
      </c>
      <c r="T135" t="s">
        <v>8</v>
      </c>
      <c r="U135" t="s">
        <v>8</v>
      </c>
      <c r="V135" t="s">
        <v>8</v>
      </c>
      <c r="W135" t="s">
        <v>8</v>
      </c>
      <c r="X135" t="s">
        <v>8</v>
      </c>
      <c r="Y135" t="s">
        <v>8</v>
      </c>
      <c r="Z135" t="s">
        <v>8</v>
      </c>
      <c r="AA135" t="s">
        <v>8</v>
      </c>
      <c r="AB135">
        <v>0</v>
      </c>
      <c r="AC135" t="s">
        <v>8</v>
      </c>
    </row>
    <row r="136" spans="1:29" x14ac:dyDescent="0.25">
      <c r="A136">
        <v>115</v>
      </c>
      <c r="B136" t="s">
        <v>818</v>
      </c>
      <c r="C136" t="s">
        <v>76</v>
      </c>
      <c r="E136">
        <v>0</v>
      </c>
      <c r="F136">
        <v>0</v>
      </c>
      <c r="G136" s="3">
        <f t="shared" si="12"/>
        <v>0</v>
      </c>
      <c r="H136" s="3">
        <f t="shared" si="13"/>
        <v>0</v>
      </c>
      <c r="I136" s="3">
        <f t="shared" si="14"/>
        <v>0</v>
      </c>
      <c r="J136" s="3">
        <f t="shared" si="15"/>
        <v>0</v>
      </c>
      <c r="K136" s="3">
        <f t="shared" si="16"/>
        <v>9</v>
      </c>
      <c r="L136" t="s">
        <v>8</v>
      </c>
      <c r="M136" t="s">
        <v>8</v>
      </c>
      <c r="N136">
        <v>0</v>
      </c>
      <c r="O136" t="s">
        <v>8</v>
      </c>
      <c r="P136" t="s">
        <v>8</v>
      </c>
      <c r="Q136" t="s">
        <v>8</v>
      </c>
      <c r="R136" t="s">
        <v>8</v>
      </c>
      <c r="S136">
        <v>0</v>
      </c>
      <c r="T136" t="s">
        <v>7</v>
      </c>
      <c r="U136" t="s">
        <v>8</v>
      </c>
      <c r="V136">
        <v>0</v>
      </c>
      <c r="W136">
        <v>0</v>
      </c>
      <c r="X136" t="s">
        <v>8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5">
      <c r="A137">
        <v>115</v>
      </c>
      <c r="B137" t="s">
        <v>749</v>
      </c>
      <c r="C137" t="s">
        <v>62</v>
      </c>
      <c r="E137">
        <v>0</v>
      </c>
      <c r="F137">
        <v>0</v>
      </c>
      <c r="G137" s="3">
        <f t="shared" si="12"/>
        <v>0</v>
      </c>
      <c r="H137" s="3">
        <f t="shared" si="13"/>
        <v>0</v>
      </c>
      <c r="I137" s="3">
        <f t="shared" si="14"/>
        <v>0</v>
      </c>
      <c r="J137" s="3">
        <f t="shared" si="15"/>
        <v>0</v>
      </c>
      <c r="K137" s="3">
        <f t="shared" si="16"/>
        <v>5</v>
      </c>
      <c r="L137" t="s">
        <v>8</v>
      </c>
      <c r="M137" t="s">
        <v>8</v>
      </c>
      <c r="N137">
        <v>0</v>
      </c>
      <c r="O137">
        <v>0</v>
      </c>
      <c r="P137">
        <v>0</v>
      </c>
      <c r="Q137" t="s">
        <v>7</v>
      </c>
      <c r="R137">
        <v>0</v>
      </c>
      <c r="S137">
        <v>0</v>
      </c>
      <c r="T137" t="s">
        <v>8</v>
      </c>
      <c r="U137" t="s">
        <v>8</v>
      </c>
      <c r="V137" t="s">
        <v>8</v>
      </c>
      <c r="W137" t="s">
        <v>8</v>
      </c>
      <c r="X137" t="s">
        <v>8</v>
      </c>
      <c r="Y137" t="s">
        <v>8</v>
      </c>
      <c r="Z137" t="s">
        <v>8</v>
      </c>
      <c r="AA137" t="s">
        <v>8</v>
      </c>
      <c r="AB137" t="s">
        <v>8</v>
      </c>
      <c r="AC137" t="s">
        <v>8</v>
      </c>
    </row>
    <row r="138" spans="1:29" x14ac:dyDescent="0.25">
      <c r="A138">
        <v>115</v>
      </c>
      <c r="B138" t="s">
        <v>819</v>
      </c>
      <c r="C138" t="s">
        <v>60</v>
      </c>
      <c r="E138">
        <v>0</v>
      </c>
      <c r="F138">
        <v>0</v>
      </c>
      <c r="G138" s="3">
        <f t="shared" si="12"/>
        <v>0</v>
      </c>
      <c r="H138" s="3">
        <f t="shared" si="13"/>
        <v>0</v>
      </c>
      <c r="I138" s="3">
        <f t="shared" si="14"/>
        <v>0</v>
      </c>
      <c r="J138" s="3">
        <f t="shared" si="15"/>
        <v>0</v>
      </c>
      <c r="K138" s="3">
        <f t="shared" si="16"/>
        <v>4</v>
      </c>
      <c r="L138" t="s">
        <v>8</v>
      </c>
      <c r="M138">
        <v>0</v>
      </c>
      <c r="N138" t="s">
        <v>8</v>
      </c>
      <c r="O138">
        <v>0</v>
      </c>
      <c r="P138">
        <v>0</v>
      </c>
      <c r="Q138" t="s">
        <v>8</v>
      </c>
      <c r="R138">
        <v>0</v>
      </c>
      <c r="S138" t="s">
        <v>8</v>
      </c>
      <c r="T138" t="s">
        <v>8</v>
      </c>
      <c r="U138" t="s">
        <v>8</v>
      </c>
      <c r="V138" t="s">
        <v>8</v>
      </c>
      <c r="W138" t="s">
        <v>8</v>
      </c>
      <c r="X138" t="s">
        <v>8</v>
      </c>
      <c r="Y138" t="s">
        <v>7</v>
      </c>
      <c r="Z138" t="s">
        <v>8</v>
      </c>
      <c r="AA138" t="s">
        <v>8</v>
      </c>
      <c r="AB138" t="s">
        <v>8</v>
      </c>
      <c r="AC138" t="s">
        <v>8</v>
      </c>
    </row>
    <row r="139" spans="1:29" x14ac:dyDescent="0.25">
      <c r="A139">
        <v>115</v>
      </c>
      <c r="B139" t="s">
        <v>820</v>
      </c>
      <c r="C139" t="s">
        <v>90</v>
      </c>
      <c r="E139">
        <v>0</v>
      </c>
      <c r="F139">
        <v>0</v>
      </c>
      <c r="G139" s="3">
        <f t="shared" si="12"/>
        <v>0</v>
      </c>
      <c r="H139" s="3">
        <f t="shared" si="13"/>
        <v>0</v>
      </c>
      <c r="I139" s="3">
        <f t="shared" si="14"/>
        <v>0</v>
      </c>
      <c r="J139" s="3">
        <f t="shared" si="15"/>
        <v>0</v>
      </c>
      <c r="K139" s="3">
        <f t="shared" si="16"/>
        <v>6</v>
      </c>
      <c r="L139">
        <v>0</v>
      </c>
      <c r="M139" t="s">
        <v>8</v>
      </c>
      <c r="N139" t="s">
        <v>8</v>
      </c>
      <c r="O139" t="s">
        <v>8</v>
      </c>
      <c r="P139" t="s">
        <v>8</v>
      </c>
      <c r="Q139">
        <v>0</v>
      </c>
      <c r="R139" t="s">
        <v>8</v>
      </c>
      <c r="S139">
        <v>0</v>
      </c>
      <c r="T139" t="s">
        <v>8</v>
      </c>
      <c r="U139" t="s">
        <v>8</v>
      </c>
      <c r="V139" t="s">
        <v>8</v>
      </c>
      <c r="W139" t="s">
        <v>8</v>
      </c>
      <c r="X139">
        <v>0</v>
      </c>
      <c r="Y139" t="s">
        <v>8</v>
      </c>
      <c r="Z139">
        <v>0</v>
      </c>
      <c r="AA139">
        <v>0</v>
      </c>
      <c r="AB139" t="s">
        <v>8</v>
      </c>
      <c r="AC139" t="s">
        <v>8</v>
      </c>
    </row>
    <row r="140" spans="1:29" x14ac:dyDescent="0.25">
      <c r="A140">
        <v>115</v>
      </c>
      <c r="B140" t="s">
        <v>821</v>
      </c>
      <c r="C140" t="s">
        <v>90</v>
      </c>
      <c r="E140">
        <v>0</v>
      </c>
      <c r="F140">
        <v>0</v>
      </c>
      <c r="G140" s="3">
        <f t="shared" si="12"/>
        <v>0</v>
      </c>
      <c r="H140" s="3">
        <f t="shared" si="13"/>
        <v>0</v>
      </c>
      <c r="I140" s="3">
        <f t="shared" si="14"/>
        <v>0</v>
      </c>
      <c r="J140" s="3">
        <f t="shared" si="15"/>
        <v>0</v>
      </c>
      <c r="K140" s="3">
        <f t="shared" si="16"/>
        <v>3</v>
      </c>
      <c r="L140" t="s">
        <v>8</v>
      </c>
      <c r="M140" t="s">
        <v>8</v>
      </c>
      <c r="N140">
        <v>0</v>
      </c>
      <c r="O140" t="s">
        <v>8</v>
      </c>
      <c r="P140" t="s">
        <v>8</v>
      </c>
      <c r="Q140">
        <v>0</v>
      </c>
      <c r="R140" t="s">
        <v>8</v>
      </c>
      <c r="S140">
        <v>0</v>
      </c>
      <c r="T140" t="s">
        <v>8</v>
      </c>
      <c r="U140" t="s">
        <v>8</v>
      </c>
      <c r="V140" t="s">
        <v>8</v>
      </c>
      <c r="W140" t="s">
        <v>8</v>
      </c>
      <c r="X140" t="s">
        <v>8</v>
      </c>
      <c r="Y140" t="s">
        <v>8</v>
      </c>
      <c r="Z140" t="s">
        <v>8</v>
      </c>
      <c r="AA140" t="s">
        <v>8</v>
      </c>
      <c r="AB140" t="s">
        <v>8</v>
      </c>
      <c r="AC140" t="s">
        <v>8</v>
      </c>
    </row>
    <row r="141" spans="1:29" x14ac:dyDescent="0.25">
      <c r="A141">
        <v>115</v>
      </c>
      <c r="B141" t="s">
        <v>822</v>
      </c>
      <c r="C141" t="s">
        <v>53</v>
      </c>
      <c r="E141">
        <v>0</v>
      </c>
      <c r="F141">
        <v>0</v>
      </c>
      <c r="G141" s="3">
        <f t="shared" si="12"/>
        <v>0</v>
      </c>
      <c r="H141" s="3">
        <f t="shared" si="13"/>
        <v>0</v>
      </c>
      <c r="I141" s="3">
        <f t="shared" si="14"/>
        <v>0</v>
      </c>
      <c r="J141" s="3">
        <f t="shared" si="15"/>
        <v>0</v>
      </c>
      <c r="K141" s="3">
        <f t="shared" si="16"/>
        <v>11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7</v>
      </c>
      <c r="V141" t="s">
        <v>8</v>
      </c>
      <c r="W141" t="s">
        <v>8</v>
      </c>
      <c r="X141">
        <v>0</v>
      </c>
      <c r="Y141">
        <v>0</v>
      </c>
      <c r="Z141" t="s">
        <v>8</v>
      </c>
      <c r="AA141" t="s">
        <v>8</v>
      </c>
      <c r="AB141" t="s">
        <v>8</v>
      </c>
      <c r="AC141" t="s">
        <v>8</v>
      </c>
    </row>
    <row r="142" spans="1:29" x14ac:dyDescent="0.25">
      <c r="A142">
        <v>115</v>
      </c>
      <c r="B142" t="s">
        <v>772</v>
      </c>
      <c r="C142" t="s">
        <v>14</v>
      </c>
      <c r="E142">
        <v>0</v>
      </c>
      <c r="F142">
        <v>0</v>
      </c>
      <c r="G142" s="3">
        <f t="shared" si="12"/>
        <v>0</v>
      </c>
      <c r="H142" s="3">
        <f t="shared" si="13"/>
        <v>0</v>
      </c>
      <c r="I142" s="3">
        <f t="shared" si="14"/>
        <v>0</v>
      </c>
      <c r="J142" s="3">
        <f t="shared" si="15"/>
        <v>0</v>
      </c>
      <c r="K142" s="3">
        <f t="shared" si="16"/>
        <v>7</v>
      </c>
      <c r="L142" t="s">
        <v>8</v>
      </c>
      <c r="M142" t="s">
        <v>8</v>
      </c>
      <c r="N142" t="s">
        <v>8</v>
      </c>
      <c r="O142" t="s">
        <v>8</v>
      </c>
      <c r="P142" t="s">
        <v>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8</v>
      </c>
      <c r="Y142" t="s">
        <v>8</v>
      </c>
      <c r="Z142" t="s">
        <v>8</v>
      </c>
      <c r="AA142" t="s">
        <v>8</v>
      </c>
      <c r="AB142" t="s">
        <v>8</v>
      </c>
      <c r="AC142" t="s">
        <v>8</v>
      </c>
    </row>
    <row r="143" spans="1:29" x14ac:dyDescent="0.25">
      <c r="A143">
        <v>115</v>
      </c>
      <c r="B143" t="s">
        <v>823</v>
      </c>
      <c r="C143" t="s">
        <v>76</v>
      </c>
      <c r="E143">
        <v>0</v>
      </c>
      <c r="F143">
        <v>0</v>
      </c>
      <c r="G143" s="3">
        <f t="shared" si="12"/>
        <v>0</v>
      </c>
      <c r="H143" s="3">
        <f t="shared" si="13"/>
        <v>0</v>
      </c>
      <c r="I143" s="3">
        <f t="shared" si="14"/>
        <v>0</v>
      </c>
      <c r="J143" s="3">
        <f t="shared" si="15"/>
        <v>0</v>
      </c>
      <c r="K143" s="3">
        <f t="shared" si="16"/>
        <v>11</v>
      </c>
      <c r="L143">
        <v>0</v>
      </c>
      <c r="M143">
        <v>0</v>
      </c>
      <c r="N143">
        <v>0</v>
      </c>
      <c r="O143">
        <v>0</v>
      </c>
      <c r="P143" t="s">
        <v>8</v>
      </c>
      <c r="Q143">
        <v>0</v>
      </c>
      <c r="R143">
        <v>0</v>
      </c>
      <c r="S143">
        <v>0</v>
      </c>
      <c r="T143" t="s">
        <v>7</v>
      </c>
      <c r="U143">
        <v>0</v>
      </c>
      <c r="V143" t="s">
        <v>8</v>
      </c>
      <c r="W143">
        <v>0</v>
      </c>
      <c r="X143" t="s">
        <v>8</v>
      </c>
      <c r="Y143">
        <v>0</v>
      </c>
      <c r="Z143" t="s">
        <v>8</v>
      </c>
      <c r="AA143" t="s">
        <v>8</v>
      </c>
      <c r="AB143" t="s">
        <v>8</v>
      </c>
      <c r="AC143">
        <v>0</v>
      </c>
    </row>
    <row r="144" spans="1:29" x14ac:dyDescent="0.25">
      <c r="A144">
        <v>115</v>
      </c>
      <c r="B144" t="s">
        <v>824</v>
      </c>
      <c r="C144" t="s">
        <v>38</v>
      </c>
      <c r="E144">
        <v>0</v>
      </c>
      <c r="F144">
        <v>0</v>
      </c>
      <c r="G144" s="3">
        <f t="shared" si="12"/>
        <v>0</v>
      </c>
      <c r="H144" s="3">
        <f t="shared" si="13"/>
        <v>0</v>
      </c>
      <c r="I144" s="3">
        <f t="shared" si="14"/>
        <v>0</v>
      </c>
      <c r="J144" s="3">
        <f t="shared" si="15"/>
        <v>0</v>
      </c>
      <c r="K144" s="3">
        <f t="shared" si="16"/>
        <v>4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>
        <v>0</v>
      </c>
      <c r="R144" t="s">
        <v>8</v>
      </c>
      <c r="S144">
        <v>0</v>
      </c>
      <c r="T144">
        <v>0</v>
      </c>
      <c r="U144">
        <v>0</v>
      </c>
      <c r="V144" t="s">
        <v>8</v>
      </c>
      <c r="W144" t="s">
        <v>8</v>
      </c>
      <c r="X144" t="s">
        <v>8</v>
      </c>
      <c r="Y144" t="s">
        <v>8</v>
      </c>
      <c r="Z144" t="s">
        <v>8</v>
      </c>
      <c r="AA144" t="s">
        <v>8</v>
      </c>
      <c r="AB144" t="s">
        <v>8</v>
      </c>
      <c r="AC144" t="s">
        <v>8</v>
      </c>
    </row>
    <row r="145" spans="7:11" x14ac:dyDescent="0.25">
      <c r="G145" s="3">
        <f t="shared" si="12"/>
        <v>0</v>
      </c>
      <c r="H145" s="3">
        <f t="shared" si="13"/>
        <v>0</v>
      </c>
      <c r="I145" s="3">
        <f t="shared" si="14"/>
        <v>0</v>
      </c>
      <c r="J145" s="3">
        <f t="shared" si="15"/>
        <v>0</v>
      </c>
      <c r="K145" s="3">
        <f t="shared" si="16"/>
        <v>0</v>
      </c>
    </row>
    <row r="146" spans="7:11" x14ac:dyDescent="0.25">
      <c r="G146" s="3">
        <f t="shared" si="12"/>
        <v>0</v>
      </c>
      <c r="H146" s="3">
        <f t="shared" si="13"/>
        <v>0</v>
      </c>
      <c r="I146" s="3">
        <f t="shared" si="14"/>
        <v>0</v>
      </c>
      <c r="J146" s="3">
        <f t="shared" si="15"/>
        <v>0</v>
      </c>
      <c r="K146" s="3">
        <f t="shared" si="16"/>
        <v>0</v>
      </c>
    </row>
    <row r="147" spans="7:11" x14ac:dyDescent="0.25">
      <c r="G147" s="3">
        <f t="shared" si="12"/>
        <v>0</v>
      </c>
      <c r="H147" s="3">
        <f t="shared" si="13"/>
        <v>0</v>
      </c>
      <c r="I147" s="3">
        <f t="shared" si="14"/>
        <v>0</v>
      </c>
      <c r="J147" s="3">
        <f t="shared" si="15"/>
        <v>0</v>
      </c>
      <c r="K147" s="3">
        <f t="shared" si="16"/>
        <v>0</v>
      </c>
    </row>
    <row r="148" spans="7:11" x14ac:dyDescent="0.25">
      <c r="G148" s="3">
        <f t="shared" si="12"/>
        <v>0</v>
      </c>
      <c r="H148" s="3">
        <f t="shared" si="13"/>
        <v>0</v>
      </c>
      <c r="I148" s="3">
        <f t="shared" si="14"/>
        <v>0</v>
      </c>
      <c r="J148" s="3">
        <f t="shared" si="15"/>
        <v>0</v>
      </c>
      <c r="K148" s="3">
        <f t="shared" si="16"/>
        <v>0</v>
      </c>
    </row>
    <row r="149" spans="7:11" x14ac:dyDescent="0.25">
      <c r="G149" s="3">
        <f t="shared" si="12"/>
        <v>0</v>
      </c>
      <c r="H149" s="3">
        <f t="shared" si="13"/>
        <v>0</v>
      </c>
      <c r="I149" s="3">
        <f t="shared" si="14"/>
        <v>0</v>
      </c>
      <c r="J149" s="3">
        <f t="shared" si="15"/>
        <v>0</v>
      </c>
      <c r="K149" s="3">
        <f t="shared" si="16"/>
        <v>0</v>
      </c>
    </row>
    <row r="150" spans="7:11" x14ac:dyDescent="0.25">
      <c r="G150" s="3">
        <f t="shared" si="12"/>
        <v>0</v>
      </c>
      <c r="H150" s="3">
        <f t="shared" si="13"/>
        <v>0</v>
      </c>
      <c r="I150" s="3">
        <f t="shared" si="14"/>
        <v>0</v>
      </c>
      <c r="J150" s="3">
        <f t="shared" si="15"/>
        <v>0</v>
      </c>
      <c r="K150" s="3">
        <f t="shared" si="16"/>
        <v>0</v>
      </c>
    </row>
    <row r="151" spans="7:11" x14ac:dyDescent="0.25">
      <c r="G151" s="3">
        <f t="shared" si="12"/>
        <v>0</v>
      </c>
      <c r="H151" s="3">
        <f t="shared" si="13"/>
        <v>0</v>
      </c>
      <c r="I151" s="3">
        <f t="shared" si="14"/>
        <v>0</v>
      </c>
      <c r="J151" s="3">
        <f t="shared" si="15"/>
        <v>0</v>
      </c>
      <c r="K151" s="3">
        <f t="shared" si="16"/>
        <v>0</v>
      </c>
    </row>
    <row r="152" spans="7:11" x14ac:dyDescent="0.25">
      <c r="G152" s="3">
        <f t="shared" si="12"/>
        <v>0</v>
      </c>
      <c r="H152" s="3">
        <f t="shared" si="13"/>
        <v>0</v>
      </c>
      <c r="I152" s="3">
        <f t="shared" si="14"/>
        <v>0</v>
      </c>
      <c r="J152" s="3">
        <f t="shared" si="15"/>
        <v>0</v>
      </c>
      <c r="K152" s="3">
        <f t="shared" si="16"/>
        <v>0</v>
      </c>
    </row>
    <row r="153" spans="7:11" x14ac:dyDescent="0.25">
      <c r="G153" s="3">
        <f t="shared" si="12"/>
        <v>0</v>
      </c>
      <c r="H153" s="3">
        <f t="shared" si="13"/>
        <v>0</v>
      </c>
      <c r="I153" s="3">
        <f t="shared" si="14"/>
        <v>0</v>
      </c>
      <c r="J153" s="3">
        <f t="shared" si="15"/>
        <v>0</v>
      </c>
      <c r="K153" s="3">
        <f t="shared" si="16"/>
        <v>0</v>
      </c>
    </row>
    <row r="154" spans="7:11" x14ac:dyDescent="0.25">
      <c r="G154" s="3">
        <f t="shared" si="12"/>
        <v>0</v>
      </c>
      <c r="H154" s="3">
        <f t="shared" si="13"/>
        <v>0</v>
      </c>
      <c r="I154" s="3">
        <f t="shared" si="14"/>
        <v>0</v>
      </c>
      <c r="J154" s="3">
        <f t="shared" si="15"/>
        <v>0</v>
      </c>
      <c r="K154" s="3">
        <f t="shared" si="16"/>
        <v>0</v>
      </c>
    </row>
    <row r="155" spans="7:11" x14ac:dyDescent="0.25">
      <c r="G155" s="3">
        <f t="shared" si="12"/>
        <v>0</v>
      </c>
      <c r="H155" s="3">
        <f t="shared" si="13"/>
        <v>0</v>
      </c>
      <c r="I155" s="3">
        <f t="shared" si="14"/>
        <v>0</v>
      </c>
      <c r="J155" s="3">
        <f t="shared" si="15"/>
        <v>0</v>
      </c>
      <c r="K155" s="3">
        <f t="shared" si="16"/>
        <v>0</v>
      </c>
    </row>
    <row r="156" spans="7:11" x14ac:dyDescent="0.25">
      <c r="G156" s="3">
        <f t="shared" si="12"/>
        <v>0</v>
      </c>
      <c r="H156" s="3">
        <f t="shared" si="13"/>
        <v>0</v>
      </c>
      <c r="I156" s="3">
        <f t="shared" si="14"/>
        <v>0</v>
      </c>
      <c r="J156" s="3">
        <f t="shared" si="15"/>
        <v>0</v>
      </c>
      <c r="K156" s="3">
        <f t="shared" si="16"/>
        <v>0</v>
      </c>
    </row>
    <row r="157" spans="7:11" x14ac:dyDescent="0.25">
      <c r="G157" s="3">
        <f t="shared" si="12"/>
        <v>0</v>
      </c>
      <c r="H157" s="3">
        <f t="shared" si="13"/>
        <v>0</v>
      </c>
      <c r="I157" s="3">
        <f t="shared" si="14"/>
        <v>0</v>
      </c>
      <c r="J157" s="3">
        <f t="shared" si="15"/>
        <v>0</v>
      </c>
      <c r="K157" s="3">
        <f t="shared" si="16"/>
        <v>0</v>
      </c>
    </row>
    <row r="158" spans="7:11" x14ac:dyDescent="0.25">
      <c r="G158" s="3">
        <f t="shared" si="12"/>
        <v>0</v>
      </c>
      <c r="H158" s="3">
        <f t="shared" si="13"/>
        <v>0</v>
      </c>
      <c r="I158" s="3">
        <f t="shared" si="14"/>
        <v>0</v>
      </c>
      <c r="J158" s="3">
        <f t="shared" si="15"/>
        <v>0</v>
      </c>
      <c r="K158" s="3">
        <f t="shared" si="16"/>
        <v>0</v>
      </c>
    </row>
    <row r="159" spans="7:11" x14ac:dyDescent="0.25">
      <c r="G159" s="3">
        <f t="shared" si="12"/>
        <v>0</v>
      </c>
      <c r="H159" s="3">
        <f t="shared" si="13"/>
        <v>0</v>
      </c>
      <c r="I159" s="3">
        <f t="shared" si="14"/>
        <v>0</v>
      </c>
      <c r="J159" s="3">
        <f t="shared" si="15"/>
        <v>0</v>
      </c>
      <c r="K159" s="3">
        <f t="shared" si="16"/>
        <v>0</v>
      </c>
    </row>
    <row r="160" spans="7:11" x14ac:dyDescent="0.25">
      <c r="G160" s="3">
        <f t="shared" si="12"/>
        <v>0</v>
      </c>
      <c r="H160" s="3">
        <f t="shared" si="13"/>
        <v>0</v>
      </c>
      <c r="I160" s="3">
        <f t="shared" si="14"/>
        <v>0</v>
      </c>
      <c r="J160" s="3">
        <f t="shared" si="15"/>
        <v>0</v>
      </c>
      <c r="K160" s="3">
        <f t="shared" si="16"/>
        <v>0</v>
      </c>
    </row>
    <row r="161" spans="7:11" x14ac:dyDescent="0.25">
      <c r="G161" s="3">
        <f t="shared" si="12"/>
        <v>0</v>
      </c>
      <c r="H161" s="3">
        <f t="shared" si="13"/>
        <v>0</v>
      </c>
      <c r="I161" s="3">
        <f t="shared" si="14"/>
        <v>0</v>
      </c>
      <c r="J161" s="3">
        <f t="shared" si="15"/>
        <v>0</v>
      </c>
      <c r="K161" s="3">
        <f t="shared" si="16"/>
        <v>0</v>
      </c>
    </row>
    <row r="162" spans="7:11" x14ac:dyDescent="0.25">
      <c r="G162" s="3">
        <f t="shared" si="12"/>
        <v>0</v>
      </c>
      <c r="H162" s="3">
        <f t="shared" si="13"/>
        <v>0</v>
      </c>
      <c r="I162" s="3">
        <f t="shared" si="14"/>
        <v>0</v>
      </c>
      <c r="J162" s="3">
        <f t="shared" si="15"/>
        <v>0</v>
      </c>
      <c r="K162" s="3">
        <f t="shared" si="16"/>
        <v>0</v>
      </c>
    </row>
    <row r="163" spans="7:11" x14ac:dyDescent="0.25">
      <c r="G163" s="3">
        <f t="shared" si="12"/>
        <v>0</v>
      </c>
      <c r="H163" s="3">
        <f t="shared" si="13"/>
        <v>0</v>
      </c>
      <c r="I163" s="3">
        <f t="shared" si="14"/>
        <v>0</v>
      </c>
      <c r="J163" s="3">
        <f t="shared" si="15"/>
        <v>0</v>
      </c>
      <c r="K163" s="3">
        <f t="shared" si="16"/>
        <v>0</v>
      </c>
    </row>
    <row r="164" spans="7:11" x14ac:dyDescent="0.25">
      <c r="G164" s="3">
        <f t="shared" si="12"/>
        <v>0</v>
      </c>
      <c r="H164" s="3">
        <f t="shared" si="13"/>
        <v>0</v>
      </c>
      <c r="I164" s="3">
        <f t="shared" si="14"/>
        <v>0</v>
      </c>
      <c r="J164" s="3">
        <f t="shared" si="15"/>
        <v>0</v>
      </c>
      <c r="K164" s="3">
        <f t="shared" si="16"/>
        <v>0</v>
      </c>
    </row>
    <row r="165" spans="7:11" x14ac:dyDescent="0.25">
      <c r="G165" s="3">
        <f t="shared" si="12"/>
        <v>0</v>
      </c>
      <c r="H165" s="3">
        <f t="shared" si="13"/>
        <v>0</v>
      </c>
      <c r="I165" s="3">
        <f t="shared" si="14"/>
        <v>0</v>
      </c>
      <c r="J165" s="3">
        <f t="shared" si="15"/>
        <v>0</v>
      </c>
      <c r="K165" s="3">
        <f t="shared" si="16"/>
        <v>0</v>
      </c>
    </row>
    <row r="166" spans="7:11" x14ac:dyDescent="0.25">
      <c r="G166" s="3">
        <f t="shared" si="12"/>
        <v>0</v>
      </c>
      <c r="H166" s="3">
        <f t="shared" si="13"/>
        <v>0</v>
      </c>
      <c r="I166" s="3">
        <f t="shared" si="14"/>
        <v>0</v>
      </c>
      <c r="J166" s="3">
        <f t="shared" si="15"/>
        <v>0</v>
      </c>
      <c r="K166" s="3">
        <f t="shared" si="16"/>
        <v>0</v>
      </c>
    </row>
    <row r="167" spans="7:11" x14ac:dyDescent="0.25">
      <c r="G167" s="3">
        <f t="shared" si="12"/>
        <v>0</v>
      </c>
      <c r="H167" s="3">
        <f t="shared" si="13"/>
        <v>0</v>
      </c>
      <c r="I167" s="3">
        <f t="shared" si="14"/>
        <v>0</v>
      </c>
      <c r="J167" s="3">
        <f t="shared" si="15"/>
        <v>0</v>
      </c>
      <c r="K167" s="3">
        <f t="shared" si="16"/>
        <v>0</v>
      </c>
    </row>
    <row r="168" spans="7:11" x14ac:dyDescent="0.25">
      <c r="G168" s="3">
        <f t="shared" si="12"/>
        <v>0</v>
      </c>
      <c r="H168" s="3">
        <f t="shared" si="13"/>
        <v>0</v>
      </c>
      <c r="I168" s="3">
        <f t="shared" si="14"/>
        <v>0</v>
      </c>
      <c r="J168" s="3">
        <f t="shared" si="15"/>
        <v>0</v>
      </c>
      <c r="K168" s="3">
        <f t="shared" si="16"/>
        <v>0</v>
      </c>
    </row>
    <row r="169" spans="7:11" x14ac:dyDescent="0.25">
      <c r="G169" s="3">
        <f t="shared" si="12"/>
        <v>0</v>
      </c>
      <c r="H169" s="3">
        <f t="shared" si="13"/>
        <v>0</v>
      </c>
      <c r="I169" s="3">
        <f t="shared" si="14"/>
        <v>0</v>
      </c>
      <c r="J169" s="3">
        <f t="shared" si="15"/>
        <v>0</v>
      </c>
      <c r="K169" s="3">
        <f t="shared" si="16"/>
        <v>0</v>
      </c>
    </row>
    <row r="170" spans="7:11" x14ac:dyDescent="0.25">
      <c r="G170" s="3">
        <f t="shared" si="12"/>
        <v>0</v>
      </c>
      <c r="H170" s="3">
        <f t="shared" si="13"/>
        <v>0</v>
      </c>
      <c r="I170" s="3">
        <f t="shared" si="14"/>
        <v>0</v>
      </c>
      <c r="J170" s="3">
        <f t="shared" si="15"/>
        <v>0</v>
      </c>
      <c r="K170" s="3">
        <f t="shared" si="16"/>
        <v>0</v>
      </c>
    </row>
    <row r="171" spans="7:11" x14ac:dyDescent="0.25">
      <c r="G171" s="3">
        <f t="shared" si="12"/>
        <v>0</v>
      </c>
      <c r="H171" s="3">
        <f t="shared" si="13"/>
        <v>0</v>
      </c>
      <c r="I171" s="3">
        <f t="shared" si="14"/>
        <v>0</v>
      </c>
      <c r="J171" s="3">
        <f t="shared" si="15"/>
        <v>0</v>
      </c>
      <c r="K171" s="3">
        <f t="shared" si="16"/>
        <v>0</v>
      </c>
    </row>
    <row r="172" spans="7:11" x14ac:dyDescent="0.25">
      <c r="G172" s="3">
        <f t="shared" si="12"/>
        <v>0</v>
      </c>
      <c r="H172" s="3">
        <f t="shared" si="13"/>
        <v>0</v>
      </c>
      <c r="I172" s="3">
        <f t="shared" si="14"/>
        <v>0</v>
      </c>
      <c r="J172" s="3">
        <f t="shared" si="15"/>
        <v>0</v>
      </c>
      <c r="K172" s="3">
        <f t="shared" si="16"/>
        <v>0</v>
      </c>
    </row>
    <row r="173" spans="7:11" x14ac:dyDescent="0.25">
      <c r="G173" s="3">
        <f t="shared" si="12"/>
        <v>0</v>
      </c>
      <c r="H173" s="3">
        <f t="shared" si="13"/>
        <v>0</v>
      </c>
      <c r="I173" s="3">
        <f t="shared" si="14"/>
        <v>0</v>
      </c>
      <c r="J173" s="3">
        <f t="shared" si="15"/>
        <v>0</v>
      </c>
      <c r="K173" s="3">
        <f t="shared" si="16"/>
        <v>0</v>
      </c>
    </row>
    <row r="174" spans="7:11" x14ac:dyDescent="0.25">
      <c r="G174" s="3">
        <f t="shared" si="12"/>
        <v>0</v>
      </c>
      <c r="H174" s="3">
        <f t="shared" si="13"/>
        <v>0</v>
      </c>
      <c r="I174" s="3">
        <f t="shared" si="14"/>
        <v>0</v>
      </c>
      <c r="J174" s="3">
        <f t="shared" si="15"/>
        <v>0</v>
      </c>
      <c r="K174" s="3">
        <f t="shared" si="16"/>
        <v>0</v>
      </c>
    </row>
    <row r="175" spans="7:11" x14ac:dyDescent="0.25">
      <c r="G175" s="3">
        <f t="shared" si="12"/>
        <v>0</v>
      </c>
      <c r="H175" s="3">
        <f t="shared" si="13"/>
        <v>0</v>
      </c>
      <c r="I175" s="3">
        <f t="shared" si="14"/>
        <v>0</v>
      </c>
      <c r="J175" s="3">
        <f t="shared" si="15"/>
        <v>0</v>
      </c>
      <c r="K175" s="3">
        <f t="shared" si="16"/>
        <v>0</v>
      </c>
    </row>
    <row r="176" spans="7:11" x14ac:dyDescent="0.25">
      <c r="G176" s="3">
        <f t="shared" si="12"/>
        <v>0</v>
      </c>
      <c r="H176" s="3">
        <f t="shared" si="13"/>
        <v>0</v>
      </c>
      <c r="I176" s="3">
        <f t="shared" si="14"/>
        <v>0</v>
      </c>
      <c r="J176" s="3">
        <f t="shared" si="15"/>
        <v>0</v>
      </c>
      <c r="K176" s="3">
        <f t="shared" si="16"/>
        <v>0</v>
      </c>
    </row>
    <row r="177" spans="7:11" x14ac:dyDescent="0.25">
      <c r="G177" s="3">
        <f t="shared" si="12"/>
        <v>0</v>
      </c>
      <c r="H177" s="3">
        <f t="shared" si="13"/>
        <v>0</v>
      </c>
      <c r="I177" s="3">
        <f t="shared" si="14"/>
        <v>0</v>
      </c>
      <c r="J177" s="3">
        <f t="shared" si="15"/>
        <v>0</v>
      </c>
      <c r="K177" s="3">
        <f t="shared" si="16"/>
        <v>0</v>
      </c>
    </row>
    <row r="178" spans="7:11" x14ac:dyDescent="0.25">
      <c r="G178" s="3">
        <f t="shared" si="12"/>
        <v>0</v>
      </c>
      <c r="H178" s="3">
        <f t="shared" si="13"/>
        <v>0</v>
      </c>
      <c r="I178" s="3">
        <f t="shared" si="14"/>
        <v>0</v>
      </c>
      <c r="J178" s="3">
        <f t="shared" si="15"/>
        <v>0</v>
      </c>
      <c r="K178" s="3">
        <f t="shared" si="16"/>
        <v>0</v>
      </c>
    </row>
    <row r="179" spans="7:11" x14ac:dyDescent="0.25">
      <c r="G179" s="3">
        <f t="shared" si="12"/>
        <v>0</v>
      </c>
      <c r="H179" s="3">
        <f t="shared" si="13"/>
        <v>0</v>
      </c>
      <c r="I179" s="3">
        <f t="shared" si="14"/>
        <v>0</v>
      </c>
      <c r="J179" s="3">
        <f t="shared" si="15"/>
        <v>0</v>
      </c>
      <c r="K179" s="3">
        <f t="shared" si="16"/>
        <v>0</v>
      </c>
    </row>
    <row r="180" spans="7:11" x14ac:dyDescent="0.25">
      <c r="G180" s="3">
        <f t="shared" si="12"/>
        <v>0</v>
      </c>
      <c r="H180" s="3">
        <f t="shared" si="13"/>
        <v>0</v>
      </c>
      <c r="I180" s="3">
        <f t="shared" si="14"/>
        <v>0</v>
      </c>
      <c r="J180" s="3">
        <f t="shared" si="15"/>
        <v>0</v>
      </c>
      <c r="K180" s="3">
        <f t="shared" si="16"/>
        <v>0</v>
      </c>
    </row>
    <row r="181" spans="7:11" x14ac:dyDescent="0.25">
      <c r="G181" s="3">
        <f t="shared" si="12"/>
        <v>0</v>
      </c>
      <c r="H181" s="3">
        <f t="shared" si="13"/>
        <v>0</v>
      </c>
      <c r="I181" s="3">
        <f t="shared" si="14"/>
        <v>0</v>
      </c>
      <c r="J181" s="3">
        <f t="shared" si="15"/>
        <v>0</v>
      </c>
      <c r="K181" s="3">
        <f t="shared" si="16"/>
        <v>0</v>
      </c>
    </row>
    <row r="182" spans="7:11" x14ac:dyDescent="0.25">
      <c r="G182" s="3">
        <f t="shared" si="12"/>
        <v>0</v>
      </c>
      <c r="H182" s="3">
        <f t="shared" si="13"/>
        <v>0</v>
      </c>
      <c r="I182" s="3">
        <f t="shared" si="14"/>
        <v>0</v>
      </c>
      <c r="J182" s="3">
        <f t="shared" si="15"/>
        <v>0</v>
      </c>
      <c r="K182" s="3">
        <f t="shared" si="16"/>
        <v>0</v>
      </c>
    </row>
    <row r="183" spans="7:11" x14ac:dyDescent="0.25">
      <c r="G183" s="3">
        <f t="shared" si="12"/>
        <v>0</v>
      </c>
      <c r="H183" s="3">
        <f t="shared" si="13"/>
        <v>0</v>
      </c>
      <c r="I183" s="3">
        <f t="shared" si="14"/>
        <v>0</v>
      </c>
      <c r="J183" s="3">
        <f t="shared" si="15"/>
        <v>0</v>
      </c>
      <c r="K183" s="3">
        <f t="shared" si="16"/>
        <v>0</v>
      </c>
    </row>
    <row r="184" spans="7:11" x14ac:dyDescent="0.25">
      <c r="G184" s="3">
        <f t="shared" si="12"/>
        <v>0</v>
      </c>
      <c r="H184" s="3">
        <f t="shared" si="13"/>
        <v>0</v>
      </c>
      <c r="I184" s="3">
        <f t="shared" si="14"/>
        <v>0</v>
      </c>
      <c r="J184" s="3">
        <f t="shared" si="15"/>
        <v>0</v>
      </c>
      <c r="K184" s="3">
        <f t="shared" si="16"/>
        <v>0</v>
      </c>
    </row>
    <row r="185" spans="7:11" x14ac:dyDescent="0.25">
      <c r="G185" s="3">
        <f t="shared" si="12"/>
        <v>0</v>
      </c>
      <c r="H185" s="3">
        <f t="shared" si="13"/>
        <v>0</v>
      </c>
      <c r="I185" s="3">
        <f t="shared" si="14"/>
        <v>0</v>
      </c>
      <c r="J185" s="3">
        <f t="shared" si="15"/>
        <v>0</v>
      </c>
      <c r="K185" s="3">
        <f t="shared" si="16"/>
        <v>0</v>
      </c>
    </row>
    <row r="186" spans="7:11" x14ac:dyDescent="0.25">
      <c r="G186" s="3">
        <f t="shared" si="12"/>
        <v>0</v>
      </c>
      <c r="H186" s="3">
        <f t="shared" si="13"/>
        <v>0</v>
      </c>
      <c r="I186" s="3">
        <f t="shared" si="14"/>
        <v>0</v>
      </c>
      <c r="J186" s="3">
        <f t="shared" si="15"/>
        <v>0</v>
      </c>
      <c r="K186" s="3">
        <f t="shared" si="16"/>
        <v>0</v>
      </c>
    </row>
    <row r="187" spans="7:11" x14ac:dyDescent="0.25">
      <c r="G187" s="3">
        <f t="shared" si="12"/>
        <v>0</v>
      </c>
      <c r="H187" s="3">
        <f t="shared" si="13"/>
        <v>0</v>
      </c>
      <c r="I187" s="3">
        <f t="shared" si="14"/>
        <v>0</v>
      </c>
      <c r="J187" s="3">
        <f t="shared" si="15"/>
        <v>0</v>
      </c>
      <c r="K187" s="3">
        <f t="shared" si="16"/>
        <v>0</v>
      </c>
    </row>
    <row r="188" spans="7:11" x14ac:dyDescent="0.25">
      <c r="G188" s="3">
        <f t="shared" si="12"/>
        <v>0</v>
      </c>
      <c r="H188" s="3">
        <f t="shared" si="13"/>
        <v>0</v>
      </c>
      <c r="I188" s="3">
        <f t="shared" si="14"/>
        <v>0</v>
      </c>
      <c r="J188" s="3">
        <f t="shared" si="15"/>
        <v>0</v>
      </c>
      <c r="K188" s="3">
        <f t="shared" si="16"/>
        <v>0</v>
      </c>
    </row>
    <row r="189" spans="7:11" x14ac:dyDescent="0.25">
      <c r="G189" s="3">
        <f t="shared" si="12"/>
        <v>0</v>
      </c>
      <c r="H189" s="3">
        <f t="shared" si="13"/>
        <v>0</v>
      </c>
      <c r="I189" s="3">
        <f t="shared" si="14"/>
        <v>0</v>
      </c>
      <c r="J189" s="3">
        <f t="shared" si="15"/>
        <v>0</v>
      </c>
      <c r="K189" s="3">
        <f t="shared" si="16"/>
        <v>0</v>
      </c>
    </row>
    <row r="190" spans="7:11" x14ac:dyDescent="0.25">
      <c r="G190" s="3">
        <f t="shared" si="12"/>
        <v>0</v>
      </c>
      <c r="H190" s="3">
        <f t="shared" si="13"/>
        <v>0</v>
      </c>
      <c r="I190" s="3">
        <f t="shared" si="14"/>
        <v>0</v>
      </c>
      <c r="J190" s="3">
        <f t="shared" si="15"/>
        <v>0</v>
      </c>
      <c r="K190" s="3">
        <f t="shared" si="16"/>
        <v>0</v>
      </c>
    </row>
    <row r="191" spans="7:11" x14ac:dyDescent="0.25">
      <c r="G191" s="3">
        <f t="shared" si="12"/>
        <v>0</v>
      </c>
      <c r="H191" s="3">
        <f t="shared" si="13"/>
        <v>0</v>
      </c>
      <c r="I191" s="3">
        <f t="shared" si="14"/>
        <v>0</v>
      </c>
      <c r="J191" s="3">
        <f t="shared" si="15"/>
        <v>0</v>
      </c>
      <c r="K191" s="3">
        <f t="shared" si="16"/>
        <v>0</v>
      </c>
    </row>
    <row r="192" spans="7:11" x14ac:dyDescent="0.25">
      <c r="G192" s="3">
        <f t="shared" si="12"/>
        <v>0</v>
      </c>
      <c r="H192" s="3">
        <f t="shared" si="13"/>
        <v>0</v>
      </c>
      <c r="I192" s="3">
        <f t="shared" si="14"/>
        <v>0</v>
      </c>
      <c r="J192" s="3">
        <f t="shared" si="15"/>
        <v>0</v>
      </c>
      <c r="K192" s="3">
        <f t="shared" si="16"/>
        <v>0</v>
      </c>
    </row>
    <row r="193" spans="7:11" x14ac:dyDescent="0.25">
      <c r="G193" s="3">
        <f t="shared" si="12"/>
        <v>0</v>
      </c>
      <c r="H193" s="3">
        <f t="shared" si="13"/>
        <v>0</v>
      </c>
      <c r="I193" s="3">
        <f t="shared" si="14"/>
        <v>0</v>
      </c>
      <c r="J193" s="3">
        <f t="shared" si="15"/>
        <v>0</v>
      </c>
      <c r="K193" s="3">
        <f t="shared" si="16"/>
        <v>0</v>
      </c>
    </row>
    <row r="194" spans="7:11" x14ac:dyDescent="0.25">
      <c r="G194" s="3">
        <f t="shared" ref="G194:G259" si="17">COUNTIFS(L194:AC194,"&gt;=10",L194:AC194,"&lt;=99")</f>
        <v>0</v>
      </c>
      <c r="H194" s="3">
        <f t="shared" ref="H194:H259" si="18">COUNTIFS(L194:AC194,"&gt;=15",L194:AC194,"&lt;=99")</f>
        <v>0</v>
      </c>
      <c r="I194" s="3">
        <f t="shared" ref="I194:I259" si="19">COUNTIFS(L194:AC194,"&gt;=20",L194:AC194,"&lt;=99")</f>
        <v>0</v>
      </c>
      <c r="J194" s="3">
        <f t="shared" ref="J194:J259" si="20">COUNTIFS(L194:AC194,"&gt;=30",L194:AC194,"&lt;=99")</f>
        <v>0</v>
      </c>
      <c r="K194" s="3">
        <f t="shared" ref="K194:K257" si="21">COUNT(L194:AC194)</f>
        <v>0</v>
      </c>
    </row>
    <row r="195" spans="7:11" x14ac:dyDescent="0.25">
      <c r="G195" s="3">
        <f t="shared" si="17"/>
        <v>0</v>
      </c>
      <c r="H195" s="3">
        <f t="shared" si="18"/>
        <v>0</v>
      </c>
      <c r="I195" s="3">
        <f t="shared" si="19"/>
        <v>0</v>
      </c>
      <c r="J195" s="3">
        <f t="shared" si="20"/>
        <v>0</v>
      </c>
      <c r="K195" s="3">
        <f t="shared" si="21"/>
        <v>0</v>
      </c>
    </row>
    <row r="196" spans="7:11" x14ac:dyDescent="0.25">
      <c r="G196" s="3">
        <f t="shared" si="17"/>
        <v>0</v>
      </c>
      <c r="H196" s="3">
        <f t="shared" si="18"/>
        <v>0</v>
      </c>
      <c r="I196" s="3">
        <f t="shared" si="19"/>
        <v>0</v>
      </c>
      <c r="J196" s="3">
        <f t="shared" si="20"/>
        <v>0</v>
      </c>
      <c r="K196" s="3">
        <f t="shared" si="21"/>
        <v>0</v>
      </c>
    </row>
    <row r="197" spans="7:11" x14ac:dyDescent="0.25">
      <c r="G197" s="3">
        <f t="shared" si="17"/>
        <v>0</v>
      </c>
      <c r="H197" s="3">
        <f t="shared" si="18"/>
        <v>0</v>
      </c>
      <c r="I197" s="3">
        <f t="shared" si="19"/>
        <v>0</v>
      </c>
      <c r="J197" s="3">
        <f t="shared" si="20"/>
        <v>0</v>
      </c>
      <c r="K197" s="3">
        <f t="shared" si="21"/>
        <v>0</v>
      </c>
    </row>
    <row r="198" spans="7:11" x14ac:dyDescent="0.25">
      <c r="G198" s="3">
        <f t="shared" si="17"/>
        <v>0</v>
      </c>
      <c r="H198" s="3">
        <f t="shared" si="18"/>
        <v>0</v>
      </c>
      <c r="I198" s="3">
        <f t="shared" si="19"/>
        <v>0</v>
      </c>
      <c r="J198" s="3">
        <f t="shared" si="20"/>
        <v>0</v>
      </c>
      <c r="K198" s="3">
        <f t="shared" si="21"/>
        <v>0</v>
      </c>
    </row>
    <row r="199" spans="7:11" x14ac:dyDescent="0.25">
      <c r="G199" s="3">
        <f t="shared" si="17"/>
        <v>0</v>
      </c>
      <c r="H199" s="3">
        <f t="shared" si="18"/>
        <v>0</v>
      </c>
      <c r="I199" s="3">
        <f t="shared" si="19"/>
        <v>0</v>
      </c>
      <c r="J199" s="3">
        <f t="shared" si="20"/>
        <v>0</v>
      </c>
      <c r="K199" s="3">
        <f t="shared" si="21"/>
        <v>0</v>
      </c>
    </row>
    <row r="200" spans="7:11" x14ac:dyDescent="0.25">
      <c r="G200" s="3">
        <f t="shared" si="17"/>
        <v>0</v>
      </c>
      <c r="H200" s="3">
        <f t="shared" si="18"/>
        <v>0</v>
      </c>
      <c r="I200" s="3">
        <f t="shared" si="19"/>
        <v>0</v>
      </c>
      <c r="J200" s="3">
        <f t="shared" si="20"/>
        <v>0</v>
      </c>
      <c r="K200" s="3">
        <f t="shared" si="21"/>
        <v>0</v>
      </c>
    </row>
    <row r="201" spans="7:11" x14ac:dyDescent="0.25">
      <c r="G201" s="3">
        <f t="shared" si="17"/>
        <v>0</v>
      </c>
      <c r="H201" s="3">
        <f t="shared" si="18"/>
        <v>0</v>
      </c>
      <c r="I201" s="3">
        <f t="shared" si="19"/>
        <v>0</v>
      </c>
      <c r="J201" s="3">
        <f t="shared" si="20"/>
        <v>0</v>
      </c>
      <c r="K201" s="3">
        <f t="shared" si="21"/>
        <v>0</v>
      </c>
    </row>
    <row r="202" spans="7:11" x14ac:dyDescent="0.25">
      <c r="G202" s="3">
        <f t="shared" si="17"/>
        <v>0</v>
      </c>
      <c r="H202" s="3">
        <f t="shared" si="18"/>
        <v>0</v>
      </c>
      <c r="I202" s="3">
        <f t="shared" si="19"/>
        <v>0</v>
      </c>
      <c r="J202" s="3">
        <f t="shared" si="20"/>
        <v>0</v>
      </c>
      <c r="K202" s="3">
        <f t="shared" si="21"/>
        <v>0</v>
      </c>
    </row>
    <row r="203" spans="7:11" x14ac:dyDescent="0.25">
      <c r="G203" s="3">
        <f t="shared" si="17"/>
        <v>0</v>
      </c>
      <c r="H203" s="3">
        <f t="shared" si="18"/>
        <v>0</v>
      </c>
      <c r="I203" s="3">
        <f t="shared" si="19"/>
        <v>0</v>
      </c>
      <c r="J203" s="3">
        <f t="shared" si="20"/>
        <v>0</v>
      </c>
      <c r="K203" s="3">
        <f t="shared" si="21"/>
        <v>0</v>
      </c>
    </row>
    <row r="204" spans="7:11" x14ac:dyDescent="0.25">
      <c r="G204" s="3">
        <f t="shared" si="17"/>
        <v>0</v>
      </c>
      <c r="H204" s="3">
        <f t="shared" si="18"/>
        <v>0</v>
      </c>
      <c r="I204" s="3">
        <f t="shared" si="19"/>
        <v>0</v>
      </c>
      <c r="J204" s="3">
        <f t="shared" si="20"/>
        <v>0</v>
      </c>
      <c r="K204" s="3">
        <f t="shared" si="21"/>
        <v>0</v>
      </c>
    </row>
    <row r="205" spans="7:11" x14ac:dyDescent="0.25">
      <c r="G205" s="3">
        <f t="shared" si="17"/>
        <v>0</v>
      </c>
      <c r="H205" s="3">
        <f t="shared" si="18"/>
        <v>0</v>
      </c>
      <c r="I205" s="3">
        <f t="shared" si="19"/>
        <v>0</v>
      </c>
      <c r="J205" s="3">
        <f t="shared" si="20"/>
        <v>0</v>
      </c>
      <c r="K205" s="3">
        <f t="shared" si="21"/>
        <v>0</v>
      </c>
    </row>
    <row r="206" spans="7:11" x14ac:dyDescent="0.25">
      <c r="G206" s="3">
        <f t="shared" si="17"/>
        <v>0</v>
      </c>
      <c r="H206" s="3">
        <f t="shared" si="18"/>
        <v>0</v>
      </c>
      <c r="I206" s="3">
        <f t="shared" si="19"/>
        <v>0</v>
      </c>
      <c r="J206" s="3">
        <f t="shared" si="20"/>
        <v>0</v>
      </c>
      <c r="K206" s="3">
        <f t="shared" si="21"/>
        <v>0</v>
      </c>
    </row>
    <row r="207" spans="7:11" x14ac:dyDescent="0.25">
      <c r="G207" s="3">
        <f t="shared" si="17"/>
        <v>0</v>
      </c>
      <c r="H207" s="3">
        <f t="shared" si="18"/>
        <v>0</v>
      </c>
      <c r="I207" s="3">
        <f t="shared" si="19"/>
        <v>0</v>
      </c>
      <c r="J207" s="3">
        <f t="shared" si="20"/>
        <v>0</v>
      </c>
      <c r="K207" s="3">
        <f t="shared" si="21"/>
        <v>0</v>
      </c>
    </row>
    <row r="208" spans="7:11" x14ac:dyDescent="0.25">
      <c r="G208" s="3">
        <f t="shared" si="17"/>
        <v>0</v>
      </c>
      <c r="H208" s="3">
        <f t="shared" si="18"/>
        <v>0</v>
      </c>
      <c r="I208" s="3">
        <f t="shared" si="19"/>
        <v>0</v>
      </c>
      <c r="J208" s="3">
        <f t="shared" si="20"/>
        <v>0</v>
      </c>
      <c r="K208" s="3">
        <f t="shared" si="21"/>
        <v>0</v>
      </c>
    </row>
    <row r="209" spans="7:11" x14ac:dyDescent="0.25">
      <c r="G209" s="3">
        <f t="shared" si="17"/>
        <v>0</v>
      </c>
      <c r="H209" s="3">
        <f t="shared" si="18"/>
        <v>0</v>
      </c>
      <c r="I209" s="3">
        <f t="shared" si="19"/>
        <v>0</v>
      </c>
      <c r="J209" s="3">
        <f t="shared" si="20"/>
        <v>0</v>
      </c>
      <c r="K209" s="3">
        <f t="shared" si="21"/>
        <v>0</v>
      </c>
    </row>
    <row r="210" spans="7:11" x14ac:dyDescent="0.25">
      <c r="G210" s="3">
        <f t="shared" si="17"/>
        <v>0</v>
      </c>
      <c r="H210" s="3">
        <f t="shared" si="18"/>
        <v>0</v>
      </c>
      <c r="I210" s="3">
        <f t="shared" si="19"/>
        <v>0</v>
      </c>
      <c r="J210" s="3">
        <f t="shared" si="20"/>
        <v>0</v>
      </c>
      <c r="K210" s="3">
        <f t="shared" si="21"/>
        <v>0</v>
      </c>
    </row>
    <row r="211" spans="7:11" x14ac:dyDescent="0.25">
      <c r="G211" s="3">
        <f t="shared" si="17"/>
        <v>0</v>
      </c>
      <c r="H211" s="3">
        <f t="shared" si="18"/>
        <v>0</v>
      </c>
      <c r="I211" s="3">
        <f t="shared" si="19"/>
        <v>0</v>
      </c>
      <c r="J211" s="3">
        <f t="shared" si="20"/>
        <v>0</v>
      </c>
      <c r="K211" s="3">
        <f t="shared" si="21"/>
        <v>0</v>
      </c>
    </row>
    <row r="212" spans="7:11" x14ac:dyDescent="0.25">
      <c r="G212" s="3">
        <f t="shared" si="17"/>
        <v>0</v>
      </c>
      <c r="H212" s="3">
        <f t="shared" si="18"/>
        <v>0</v>
      </c>
      <c r="I212" s="3">
        <f t="shared" si="19"/>
        <v>0</v>
      </c>
      <c r="J212" s="3">
        <f t="shared" si="20"/>
        <v>0</v>
      </c>
      <c r="K212" s="3">
        <f t="shared" si="21"/>
        <v>0</v>
      </c>
    </row>
    <row r="213" spans="7:11" x14ac:dyDescent="0.25">
      <c r="G213" s="3">
        <f t="shared" si="17"/>
        <v>0</v>
      </c>
      <c r="H213" s="3">
        <f t="shared" si="18"/>
        <v>0</v>
      </c>
      <c r="I213" s="3">
        <f t="shared" si="19"/>
        <v>0</v>
      </c>
      <c r="J213" s="3">
        <f t="shared" si="20"/>
        <v>0</v>
      </c>
      <c r="K213" s="3">
        <f t="shared" si="21"/>
        <v>0</v>
      </c>
    </row>
    <row r="214" spans="7:11" x14ac:dyDescent="0.25">
      <c r="G214" s="3">
        <f t="shared" si="17"/>
        <v>0</v>
      </c>
      <c r="H214" s="3">
        <f t="shared" si="18"/>
        <v>0</v>
      </c>
      <c r="I214" s="3">
        <f t="shared" si="19"/>
        <v>0</v>
      </c>
      <c r="J214" s="3">
        <f t="shared" si="20"/>
        <v>0</v>
      </c>
      <c r="K214" s="3">
        <f t="shared" si="21"/>
        <v>0</v>
      </c>
    </row>
    <row r="215" spans="7:11" x14ac:dyDescent="0.25">
      <c r="G215" s="3">
        <f t="shared" si="17"/>
        <v>0</v>
      </c>
      <c r="H215" s="3">
        <f t="shared" si="18"/>
        <v>0</v>
      </c>
      <c r="I215" s="3">
        <f t="shared" si="19"/>
        <v>0</v>
      </c>
      <c r="J215" s="3">
        <f t="shared" si="20"/>
        <v>0</v>
      </c>
      <c r="K215" s="3">
        <f t="shared" si="21"/>
        <v>0</v>
      </c>
    </row>
    <row r="216" spans="7:11" x14ac:dyDescent="0.25">
      <c r="G216" s="3">
        <f t="shared" si="17"/>
        <v>0</v>
      </c>
      <c r="H216" s="3">
        <f t="shared" si="18"/>
        <v>0</v>
      </c>
      <c r="I216" s="3">
        <f t="shared" si="19"/>
        <v>0</v>
      </c>
      <c r="J216" s="3">
        <f t="shared" si="20"/>
        <v>0</v>
      </c>
      <c r="K216" s="3">
        <f t="shared" si="21"/>
        <v>0</v>
      </c>
    </row>
    <row r="217" spans="7:11" x14ac:dyDescent="0.25">
      <c r="G217" s="3">
        <f t="shared" si="17"/>
        <v>0</v>
      </c>
      <c r="H217" s="3">
        <f t="shared" si="18"/>
        <v>0</v>
      </c>
      <c r="I217" s="3">
        <f t="shared" si="19"/>
        <v>0</v>
      </c>
      <c r="J217" s="3">
        <f t="shared" si="20"/>
        <v>0</v>
      </c>
      <c r="K217" s="3">
        <f t="shared" si="21"/>
        <v>0</v>
      </c>
    </row>
    <row r="218" spans="7:11" x14ac:dyDescent="0.25">
      <c r="G218" s="3">
        <f t="shared" si="17"/>
        <v>0</v>
      </c>
      <c r="H218" s="3">
        <f t="shared" si="18"/>
        <v>0</v>
      </c>
      <c r="I218" s="3">
        <f t="shared" si="19"/>
        <v>0</v>
      </c>
      <c r="J218" s="3">
        <f t="shared" si="20"/>
        <v>0</v>
      </c>
      <c r="K218" s="3">
        <f t="shared" si="21"/>
        <v>0</v>
      </c>
    </row>
    <row r="219" spans="7:11" x14ac:dyDescent="0.25">
      <c r="G219" s="3">
        <f t="shared" si="17"/>
        <v>0</v>
      </c>
      <c r="H219" s="3">
        <f t="shared" si="18"/>
        <v>0</v>
      </c>
      <c r="I219" s="3">
        <f t="shared" si="19"/>
        <v>0</v>
      </c>
      <c r="J219" s="3">
        <f t="shared" si="20"/>
        <v>0</v>
      </c>
      <c r="K219" s="3">
        <f t="shared" si="21"/>
        <v>0</v>
      </c>
    </row>
    <row r="220" spans="7:11" x14ac:dyDescent="0.25">
      <c r="G220" s="3">
        <f t="shared" si="17"/>
        <v>0</v>
      </c>
      <c r="H220" s="3">
        <f t="shared" si="18"/>
        <v>0</v>
      </c>
      <c r="I220" s="3">
        <f t="shared" si="19"/>
        <v>0</v>
      </c>
      <c r="J220" s="3">
        <f t="shared" si="20"/>
        <v>0</v>
      </c>
      <c r="K220" s="3">
        <f t="shared" si="21"/>
        <v>0</v>
      </c>
    </row>
    <row r="221" spans="7:11" x14ac:dyDescent="0.25">
      <c r="G221" s="3">
        <f t="shared" si="17"/>
        <v>0</v>
      </c>
      <c r="H221" s="3">
        <f t="shared" si="18"/>
        <v>0</v>
      </c>
      <c r="I221" s="3">
        <f t="shared" si="19"/>
        <v>0</v>
      </c>
      <c r="J221" s="3">
        <f t="shared" si="20"/>
        <v>0</v>
      </c>
      <c r="K221" s="3">
        <f t="shared" si="21"/>
        <v>0</v>
      </c>
    </row>
    <row r="222" spans="7:11" x14ac:dyDescent="0.25">
      <c r="G222" s="3">
        <f t="shared" si="17"/>
        <v>0</v>
      </c>
      <c r="H222" s="3">
        <f t="shared" si="18"/>
        <v>0</v>
      </c>
      <c r="I222" s="3">
        <f t="shared" si="19"/>
        <v>0</v>
      </c>
      <c r="J222" s="3">
        <f t="shared" si="20"/>
        <v>0</v>
      </c>
      <c r="K222" s="3">
        <f t="shared" si="21"/>
        <v>0</v>
      </c>
    </row>
    <row r="223" spans="7:11" x14ac:dyDescent="0.25">
      <c r="G223" s="3">
        <f t="shared" si="17"/>
        <v>0</v>
      </c>
      <c r="H223" s="3">
        <f t="shared" si="18"/>
        <v>0</v>
      </c>
      <c r="I223" s="3">
        <f t="shared" si="19"/>
        <v>0</v>
      </c>
      <c r="J223" s="3">
        <f t="shared" si="20"/>
        <v>0</v>
      </c>
      <c r="K223" s="3">
        <f t="shared" si="21"/>
        <v>0</v>
      </c>
    </row>
    <row r="224" spans="7:11" x14ac:dyDescent="0.25">
      <c r="G224" s="3">
        <f t="shared" si="17"/>
        <v>0</v>
      </c>
      <c r="H224" s="3">
        <f t="shared" si="18"/>
        <v>0</v>
      </c>
      <c r="I224" s="3">
        <f t="shared" si="19"/>
        <v>0</v>
      </c>
      <c r="J224" s="3">
        <f t="shared" si="20"/>
        <v>0</v>
      </c>
      <c r="K224" s="3">
        <f t="shared" si="21"/>
        <v>0</v>
      </c>
    </row>
    <row r="225" spans="7:11" x14ac:dyDescent="0.25">
      <c r="G225" s="3">
        <f t="shared" si="17"/>
        <v>0</v>
      </c>
      <c r="H225" s="3">
        <f t="shared" si="18"/>
        <v>0</v>
      </c>
      <c r="I225" s="3">
        <f t="shared" si="19"/>
        <v>0</v>
      </c>
      <c r="J225" s="3">
        <f t="shared" si="20"/>
        <v>0</v>
      </c>
      <c r="K225" s="3">
        <f t="shared" si="21"/>
        <v>0</v>
      </c>
    </row>
    <row r="226" spans="7:11" x14ac:dyDescent="0.25">
      <c r="G226" s="3">
        <f t="shared" si="17"/>
        <v>0</v>
      </c>
      <c r="H226" s="3">
        <f t="shared" si="18"/>
        <v>0</v>
      </c>
      <c r="I226" s="3">
        <f t="shared" si="19"/>
        <v>0</v>
      </c>
      <c r="J226" s="3">
        <f t="shared" si="20"/>
        <v>0</v>
      </c>
      <c r="K226" s="3">
        <f t="shared" si="21"/>
        <v>0</v>
      </c>
    </row>
    <row r="227" spans="7:11" x14ac:dyDescent="0.25">
      <c r="G227" s="3">
        <f t="shared" si="17"/>
        <v>0</v>
      </c>
      <c r="H227" s="3">
        <f t="shared" si="18"/>
        <v>0</v>
      </c>
      <c r="I227" s="3">
        <f t="shared" si="19"/>
        <v>0</v>
      </c>
      <c r="J227" s="3">
        <f t="shared" si="20"/>
        <v>0</v>
      </c>
      <c r="K227" s="3">
        <f t="shared" si="21"/>
        <v>0</v>
      </c>
    </row>
    <row r="228" spans="7:11" x14ac:dyDescent="0.25">
      <c r="G228" s="3">
        <f t="shared" si="17"/>
        <v>0</v>
      </c>
      <c r="H228" s="3">
        <f t="shared" si="18"/>
        <v>0</v>
      </c>
      <c r="I228" s="3">
        <f t="shared" si="19"/>
        <v>0</v>
      </c>
      <c r="J228" s="3">
        <f t="shared" si="20"/>
        <v>0</v>
      </c>
      <c r="K228" s="3">
        <f t="shared" si="21"/>
        <v>0</v>
      </c>
    </row>
    <row r="229" spans="7:11" x14ac:dyDescent="0.25">
      <c r="G229" s="3">
        <f t="shared" si="17"/>
        <v>0</v>
      </c>
      <c r="H229" s="3">
        <f t="shared" si="18"/>
        <v>0</v>
      </c>
      <c r="I229" s="3">
        <f t="shared" si="19"/>
        <v>0</v>
      </c>
      <c r="J229" s="3">
        <f t="shared" si="20"/>
        <v>0</v>
      </c>
      <c r="K229" s="3">
        <f t="shared" si="21"/>
        <v>0</v>
      </c>
    </row>
    <row r="230" spans="7:11" x14ac:dyDescent="0.25">
      <c r="G230" s="3">
        <f t="shared" si="17"/>
        <v>0</v>
      </c>
      <c r="H230" s="3">
        <f t="shared" si="18"/>
        <v>0</v>
      </c>
      <c r="I230" s="3">
        <f t="shared" si="19"/>
        <v>0</v>
      </c>
      <c r="J230" s="3">
        <f t="shared" si="20"/>
        <v>0</v>
      </c>
      <c r="K230" s="3">
        <f t="shared" si="21"/>
        <v>0</v>
      </c>
    </row>
    <row r="231" spans="7:11" x14ac:dyDescent="0.25">
      <c r="G231" s="3">
        <f t="shared" si="17"/>
        <v>0</v>
      </c>
      <c r="H231" s="3">
        <f t="shared" si="18"/>
        <v>0</v>
      </c>
      <c r="I231" s="3">
        <f t="shared" si="19"/>
        <v>0</v>
      </c>
      <c r="J231" s="3">
        <f t="shared" si="20"/>
        <v>0</v>
      </c>
      <c r="K231" s="3">
        <f t="shared" si="21"/>
        <v>0</v>
      </c>
    </row>
    <row r="232" spans="7:11" x14ac:dyDescent="0.25">
      <c r="G232" s="3">
        <f t="shared" si="17"/>
        <v>0</v>
      </c>
      <c r="H232" s="3">
        <f t="shared" si="18"/>
        <v>0</v>
      </c>
      <c r="I232" s="3">
        <f t="shared" si="19"/>
        <v>0</v>
      </c>
      <c r="J232" s="3">
        <f t="shared" si="20"/>
        <v>0</v>
      </c>
      <c r="K232" s="3">
        <f t="shared" si="21"/>
        <v>0</v>
      </c>
    </row>
    <row r="233" spans="7:11" x14ac:dyDescent="0.25">
      <c r="G233" s="3">
        <f t="shared" si="17"/>
        <v>0</v>
      </c>
      <c r="H233" s="3">
        <f t="shared" si="18"/>
        <v>0</v>
      </c>
      <c r="I233" s="3">
        <f t="shared" si="19"/>
        <v>0</v>
      </c>
      <c r="J233" s="3">
        <f t="shared" si="20"/>
        <v>0</v>
      </c>
      <c r="K233" s="3">
        <f t="shared" si="21"/>
        <v>0</v>
      </c>
    </row>
    <row r="234" spans="7:11" x14ac:dyDescent="0.25">
      <c r="G234" s="3">
        <f t="shared" si="17"/>
        <v>0</v>
      </c>
      <c r="H234" s="3">
        <f t="shared" si="18"/>
        <v>0</v>
      </c>
      <c r="I234" s="3">
        <f t="shared" si="19"/>
        <v>0</v>
      </c>
      <c r="J234" s="3">
        <f t="shared" si="20"/>
        <v>0</v>
      </c>
      <c r="K234" s="3">
        <f t="shared" si="21"/>
        <v>0</v>
      </c>
    </row>
    <row r="235" spans="7:11" x14ac:dyDescent="0.25">
      <c r="G235" s="3">
        <f t="shared" si="17"/>
        <v>0</v>
      </c>
      <c r="H235" s="3">
        <f t="shared" si="18"/>
        <v>0</v>
      </c>
      <c r="I235" s="3">
        <f t="shared" si="19"/>
        <v>0</v>
      </c>
      <c r="J235" s="3">
        <f t="shared" si="20"/>
        <v>0</v>
      </c>
      <c r="K235" s="3">
        <f t="shared" si="21"/>
        <v>0</v>
      </c>
    </row>
    <row r="236" spans="7:11" x14ac:dyDescent="0.25">
      <c r="G236" s="3">
        <f t="shared" si="17"/>
        <v>0</v>
      </c>
      <c r="H236" s="3">
        <f t="shared" si="18"/>
        <v>0</v>
      </c>
      <c r="I236" s="3">
        <f t="shared" si="19"/>
        <v>0</v>
      </c>
      <c r="J236" s="3">
        <f t="shared" si="20"/>
        <v>0</v>
      </c>
      <c r="K236" s="3">
        <f t="shared" si="21"/>
        <v>0</v>
      </c>
    </row>
    <row r="237" spans="7:11" x14ac:dyDescent="0.25">
      <c r="G237" s="3">
        <f t="shared" si="17"/>
        <v>0</v>
      </c>
      <c r="H237" s="3">
        <f t="shared" si="18"/>
        <v>0</v>
      </c>
      <c r="I237" s="3">
        <f t="shared" si="19"/>
        <v>0</v>
      </c>
      <c r="J237" s="3">
        <f t="shared" si="20"/>
        <v>0</v>
      </c>
      <c r="K237" s="3">
        <f t="shared" si="21"/>
        <v>0</v>
      </c>
    </row>
    <row r="238" spans="7:11" x14ac:dyDescent="0.25">
      <c r="G238" s="3">
        <f t="shared" si="17"/>
        <v>0</v>
      </c>
      <c r="H238" s="3">
        <f t="shared" si="18"/>
        <v>0</v>
      </c>
      <c r="I238" s="3">
        <f t="shared" si="19"/>
        <v>0</v>
      </c>
      <c r="J238" s="3">
        <f t="shared" si="20"/>
        <v>0</v>
      </c>
      <c r="K238" s="3">
        <f t="shared" si="21"/>
        <v>0</v>
      </c>
    </row>
    <row r="239" spans="7:11" x14ac:dyDescent="0.25">
      <c r="G239" s="3">
        <f t="shared" si="17"/>
        <v>0</v>
      </c>
      <c r="H239" s="3">
        <f t="shared" si="18"/>
        <v>0</v>
      </c>
      <c r="I239" s="3">
        <f t="shared" si="19"/>
        <v>0</v>
      </c>
      <c r="J239" s="3">
        <f t="shared" si="20"/>
        <v>0</v>
      </c>
      <c r="K239" s="3">
        <f t="shared" si="21"/>
        <v>0</v>
      </c>
    </row>
    <row r="240" spans="7:11" x14ac:dyDescent="0.25">
      <c r="G240" s="3">
        <f t="shared" si="17"/>
        <v>0</v>
      </c>
      <c r="H240" s="3">
        <f t="shared" si="18"/>
        <v>0</v>
      </c>
      <c r="I240" s="3">
        <f t="shared" si="19"/>
        <v>0</v>
      </c>
      <c r="J240" s="3">
        <f t="shared" si="20"/>
        <v>0</v>
      </c>
      <c r="K240" s="3">
        <f t="shared" si="21"/>
        <v>0</v>
      </c>
    </row>
    <row r="241" spans="7:11" x14ac:dyDescent="0.25">
      <c r="G241" s="3">
        <f t="shared" si="17"/>
        <v>0</v>
      </c>
      <c r="H241" s="3">
        <f t="shared" si="18"/>
        <v>0</v>
      </c>
      <c r="I241" s="3">
        <f t="shared" si="19"/>
        <v>0</v>
      </c>
      <c r="J241" s="3">
        <f t="shared" si="20"/>
        <v>0</v>
      </c>
      <c r="K241" s="3">
        <f t="shared" si="21"/>
        <v>0</v>
      </c>
    </row>
    <row r="242" spans="7:11" x14ac:dyDescent="0.25">
      <c r="G242" s="3">
        <f t="shared" si="17"/>
        <v>0</v>
      </c>
      <c r="H242" s="3">
        <f t="shared" si="18"/>
        <v>0</v>
      </c>
      <c r="I242" s="3">
        <f t="shared" si="19"/>
        <v>0</v>
      </c>
      <c r="J242" s="3">
        <f t="shared" si="20"/>
        <v>0</v>
      </c>
      <c r="K242" s="3">
        <f t="shared" si="21"/>
        <v>0</v>
      </c>
    </row>
    <row r="243" spans="7:11" x14ac:dyDescent="0.25">
      <c r="G243" s="3">
        <f t="shared" si="17"/>
        <v>0</v>
      </c>
      <c r="H243" s="3">
        <f t="shared" si="18"/>
        <v>0</v>
      </c>
      <c r="I243" s="3">
        <f t="shared" si="19"/>
        <v>0</v>
      </c>
      <c r="J243" s="3">
        <f t="shared" si="20"/>
        <v>0</v>
      </c>
      <c r="K243" s="3">
        <f t="shared" si="21"/>
        <v>0</v>
      </c>
    </row>
    <row r="244" spans="7:11" x14ac:dyDescent="0.25">
      <c r="G244" s="3">
        <f t="shared" si="17"/>
        <v>0</v>
      </c>
      <c r="H244" s="3">
        <f t="shared" si="18"/>
        <v>0</v>
      </c>
      <c r="I244" s="3">
        <f t="shared" si="19"/>
        <v>0</v>
      </c>
      <c r="J244" s="3">
        <f t="shared" si="20"/>
        <v>0</v>
      </c>
      <c r="K244" s="3">
        <f t="shared" si="21"/>
        <v>0</v>
      </c>
    </row>
    <row r="245" spans="7:11" x14ac:dyDescent="0.25">
      <c r="G245" s="3">
        <f t="shared" si="17"/>
        <v>0</v>
      </c>
      <c r="H245" s="3">
        <f t="shared" si="18"/>
        <v>0</v>
      </c>
      <c r="I245" s="3">
        <f t="shared" si="19"/>
        <v>0</v>
      </c>
      <c r="J245" s="3">
        <f t="shared" si="20"/>
        <v>0</v>
      </c>
      <c r="K245" s="3">
        <f t="shared" si="21"/>
        <v>0</v>
      </c>
    </row>
    <row r="246" spans="7:11" x14ac:dyDescent="0.25">
      <c r="G246" s="3">
        <f t="shared" si="17"/>
        <v>0</v>
      </c>
      <c r="H246" s="3">
        <f t="shared" si="18"/>
        <v>0</v>
      </c>
      <c r="I246" s="3">
        <f t="shared" si="19"/>
        <v>0</v>
      </c>
      <c r="J246" s="3">
        <f t="shared" si="20"/>
        <v>0</v>
      </c>
      <c r="K246" s="3">
        <f t="shared" si="21"/>
        <v>0</v>
      </c>
    </row>
    <row r="247" spans="7:11" x14ac:dyDescent="0.25">
      <c r="G247" s="3">
        <f t="shared" si="17"/>
        <v>0</v>
      </c>
      <c r="H247" s="3">
        <f t="shared" si="18"/>
        <v>0</v>
      </c>
      <c r="I247" s="3">
        <f t="shared" si="19"/>
        <v>0</v>
      </c>
      <c r="J247" s="3">
        <f t="shared" si="20"/>
        <v>0</v>
      </c>
      <c r="K247" s="3">
        <f t="shared" si="21"/>
        <v>0</v>
      </c>
    </row>
    <row r="248" spans="7:11" x14ac:dyDescent="0.25">
      <c r="G248" s="3">
        <f t="shared" si="17"/>
        <v>0</v>
      </c>
      <c r="H248" s="3">
        <f t="shared" si="18"/>
        <v>0</v>
      </c>
      <c r="I248" s="3">
        <f t="shared" si="19"/>
        <v>0</v>
      </c>
      <c r="J248" s="3">
        <f t="shared" si="20"/>
        <v>0</v>
      </c>
      <c r="K248" s="3">
        <f t="shared" si="21"/>
        <v>0</v>
      </c>
    </row>
    <row r="249" spans="7:11" x14ac:dyDescent="0.25">
      <c r="G249" s="3">
        <f t="shared" si="17"/>
        <v>0</v>
      </c>
      <c r="H249" s="3">
        <f t="shared" si="18"/>
        <v>0</v>
      </c>
      <c r="I249" s="3">
        <f t="shared" si="19"/>
        <v>0</v>
      </c>
      <c r="J249" s="3">
        <f t="shared" si="20"/>
        <v>0</v>
      </c>
      <c r="K249" s="3">
        <f t="shared" si="21"/>
        <v>0</v>
      </c>
    </row>
    <row r="250" spans="7:11" x14ac:dyDescent="0.25">
      <c r="G250" s="3">
        <f t="shared" si="17"/>
        <v>0</v>
      </c>
      <c r="H250" s="3">
        <f t="shared" si="18"/>
        <v>0</v>
      </c>
      <c r="I250" s="3">
        <f t="shared" si="19"/>
        <v>0</v>
      </c>
      <c r="J250" s="3">
        <f t="shared" si="20"/>
        <v>0</v>
      </c>
      <c r="K250" s="3">
        <f t="shared" si="21"/>
        <v>0</v>
      </c>
    </row>
    <row r="251" spans="7:11" x14ac:dyDescent="0.25">
      <c r="G251" s="3">
        <f t="shared" si="17"/>
        <v>0</v>
      </c>
      <c r="H251" s="3">
        <f t="shared" si="18"/>
        <v>0</v>
      </c>
      <c r="I251" s="3">
        <f t="shared" si="19"/>
        <v>0</v>
      </c>
      <c r="J251" s="3">
        <f t="shared" si="20"/>
        <v>0</v>
      </c>
      <c r="K251" s="3">
        <f t="shared" si="21"/>
        <v>0</v>
      </c>
    </row>
    <row r="252" spans="7:11" x14ac:dyDescent="0.25">
      <c r="G252" s="3">
        <f t="shared" si="17"/>
        <v>0</v>
      </c>
      <c r="H252" s="3">
        <f t="shared" si="18"/>
        <v>0</v>
      </c>
      <c r="I252" s="3">
        <f t="shared" si="19"/>
        <v>0</v>
      </c>
      <c r="J252" s="3">
        <f t="shared" si="20"/>
        <v>0</v>
      </c>
      <c r="K252" s="3">
        <f t="shared" si="21"/>
        <v>0</v>
      </c>
    </row>
    <row r="253" spans="7:11" x14ac:dyDescent="0.25">
      <c r="G253" s="3">
        <f t="shared" si="17"/>
        <v>0</v>
      </c>
      <c r="H253" s="3">
        <f t="shared" si="18"/>
        <v>0</v>
      </c>
      <c r="I253" s="3">
        <f t="shared" si="19"/>
        <v>0</v>
      </c>
      <c r="J253" s="3">
        <f t="shared" si="20"/>
        <v>0</v>
      </c>
      <c r="K253" s="3">
        <f t="shared" si="21"/>
        <v>0</v>
      </c>
    </row>
    <row r="254" spans="7:11" x14ac:dyDescent="0.25">
      <c r="G254" s="3">
        <f t="shared" si="17"/>
        <v>0</v>
      </c>
      <c r="H254" s="3">
        <f t="shared" si="18"/>
        <v>0</v>
      </c>
      <c r="I254" s="3">
        <f t="shared" si="19"/>
        <v>0</v>
      </c>
      <c r="J254" s="3">
        <f t="shared" si="20"/>
        <v>0</v>
      </c>
      <c r="K254" s="3">
        <f t="shared" si="21"/>
        <v>0</v>
      </c>
    </row>
    <row r="255" spans="7:11" x14ac:dyDescent="0.25">
      <c r="G255" s="3">
        <f t="shared" si="17"/>
        <v>0</v>
      </c>
      <c r="H255" s="3">
        <f t="shared" si="18"/>
        <v>0</v>
      </c>
      <c r="I255" s="3">
        <f t="shared" si="19"/>
        <v>0</v>
      </c>
      <c r="J255" s="3">
        <f t="shared" si="20"/>
        <v>0</v>
      </c>
      <c r="K255" s="3">
        <f t="shared" si="21"/>
        <v>0</v>
      </c>
    </row>
    <row r="256" spans="7:11" x14ac:dyDescent="0.25">
      <c r="G256" s="3">
        <f t="shared" si="17"/>
        <v>0</v>
      </c>
      <c r="H256" s="3">
        <f t="shared" si="18"/>
        <v>0</v>
      </c>
      <c r="I256" s="3">
        <f t="shared" si="19"/>
        <v>0</v>
      </c>
      <c r="J256" s="3">
        <f t="shared" si="20"/>
        <v>0</v>
      </c>
      <c r="K256" s="3">
        <f t="shared" si="21"/>
        <v>0</v>
      </c>
    </row>
    <row r="257" spans="6:29" x14ac:dyDescent="0.25">
      <c r="G257" s="3">
        <f t="shared" si="17"/>
        <v>0</v>
      </c>
      <c r="H257" s="3">
        <f t="shared" si="18"/>
        <v>0</v>
      </c>
      <c r="I257" s="3">
        <f t="shared" si="19"/>
        <v>0</v>
      </c>
      <c r="J257" s="3">
        <f t="shared" si="20"/>
        <v>0</v>
      </c>
      <c r="K257" s="3">
        <f t="shared" si="21"/>
        <v>0</v>
      </c>
    </row>
    <row r="258" spans="6:29" x14ac:dyDescent="0.25">
      <c r="G258" s="3">
        <f t="shared" si="17"/>
        <v>0</v>
      </c>
      <c r="H258" s="3">
        <f t="shared" si="18"/>
        <v>0</v>
      </c>
      <c r="I258" s="3">
        <f t="shared" si="19"/>
        <v>0</v>
      </c>
      <c r="J258" s="3">
        <f t="shared" si="20"/>
        <v>0</v>
      </c>
      <c r="K258" s="3">
        <f t="shared" ref="K258:K259" si="22">COUNT(L258:AC258)</f>
        <v>0</v>
      </c>
    </row>
    <row r="259" spans="6:29" x14ac:dyDescent="0.25">
      <c r="G259" s="3">
        <f t="shared" si="17"/>
        <v>0</v>
      </c>
      <c r="H259" s="3">
        <f t="shared" si="18"/>
        <v>0</v>
      </c>
      <c r="I259" s="3">
        <f t="shared" si="19"/>
        <v>0</v>
      </c>
      <c r="J259" s="3">
        <f t="shared" si="20"/>
        <v>0</v>
      </c>
      <c r="K259" s="3">
        <f t="shared" si="22"/>
        <v>0</v>
      </c>
    </row>
    <row r="260" spans="6:29" x14ac:dyDescent="0.25">
      <c r="F260" s="3"/>
      <c r="K260" s="4"/>
      <c r="AC260" s="3"/>
    </row>
  </sheetData>
  <sortState xmlns:xlrd2="http://schemas.microsoft.com/office/spreadsheetml/2017/richdata2" ref="A2:AG260">
    <sortCondition descending="1" ref="E2:E260"/>
  </sortState>
  <conditionalFormatting sqref="L2:AC2">
    <cfRule type="cellIs" dxfId="17" priority="1" operator="lessThan">
      <formula>7.6</formula>
    </cfRule>
    <cfRule type="cellIs" dxfId="16" priority="2" operator="greaterThanOrEqual">
      <formula>7.6</formula>
    </cfRule>
  </conditionalFormatting>
  <conditionalFormatting sqref="L2:AC51">
    <cfRule type="cellIs" dxfId="15" priority="3" operator="lessThan">
      <formula>11.45</formula>
    </cfRule>
    <cfRule type="cellIs" dxfId="14" priority="4" operator="greaterThanOrEqual">
      <formula>11.45</formula>
    </cfRule>
  </conditionalFormatting>
  <conditionalFormatting sqref="AF37">
    <cfRule type="cellIs" dxfId="13" priority="5" operator="greaterThanOrEqual">
      <formula>11.45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0979-DC8B-40B7-97F3-C10C8786050A}">
  <dimension ref="A1:AE164"/>
  <sheetViews>
    <sheetView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A30" sqref="A30:XFD30"/>
    </sheetView>
  </sheetViews>
  <sheetFormatPr defaultColWidth="9.140625" defaultRowHeight="15" x14ac:dyDescent="0.25"/>
  <cols>
    <col min="1" max="1" width="4" style="3" bestFit="1" customWidth="1"/>
    <col min="2" max="2" width="21" style="3" bestFit="1" customWidth="1"/>
    <col min="3" max="3" width="4.28515625" style="3" bestFit="1" customWidth="1"/>
    <col min="4" max="4" width="5.85546875" style="3" customWidth="1"/>
    <col min="5" max="5" width="5" style="3" bestFit="1" customWidth="1"/>
    <col min="6" max="6" width="6" style="3" bestFit="1" customWidth="1"/>
    <col min="7" max="9" width="10.7109375" style="3" bestFit="1" customWidth="1"/>
    <col min="10" max="10" width="13.85546875" style="3" bestFit="1" customWidth="1"/>
    <col min="11" max="28" width="5" style="3" bestFit="1" customWidth="1"/>
    <col min="29" max="16384" width="9.140625" style="3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462</v>
      </c>
      <c r="E1" s="2" t="s">
        <v>3</v>
      </c>
      <c r="F1" s="2" t="s">
        <v>4</v>
      </c>
      <c r="G1" s="2" t="s">
        <v>113</v>
      </c>
      <c r="H1" s="2" t="s">
        <v>114</v>
      </c>
      <c r="I1" s="2" t="s">
        <v>115</v>
      </c>
      <c r="J1" s="2" t="s">
        <v>112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</row>
    <row r="2" spans="1:28" x14ac:dyDescent="0.25">
      <c r="A2">
        <v>1</v>
      </c>
      <c r="B2" t="s">
        <v>111</v>
      </c>
      <c r="C2" t="s">
        <v>76</v>
      </c>
      <c r="D2" s="6">
        <f t="shared" ref="D2:D65" si="0">MEDIAN(K2:AB2)</f>
        <v>22.55</v>
      </c>
      <c r="E2">
        <v>24.5</v>
      </c>
      <c r="F2">
        <v>391.3</v>
      </c>
      <c r="G2" s="3">
        <f t="shared" ref="G2:G65" si="1">COUNTIFS(K2:AB2,"&gt;=10",K2:AB2,"&lt;=99")</f>
        <v>16</v>
      </c>
      <c r="H2" s="3">
        <f t="shared" ref="H2:H65" si="2">COUNTIFS(K2:AB2,"&gt;=20",K2:AB2,"&lt;=99")</f>
        <v>12</v>
      </c>
      <c r="I2" s="3">
        <f t="shared" ref="I2:I65" si="3">COUNTIFS(K2:AB2,"&gt;=30",K2:AB2,"&lt;=99")</f>
        <v>3</v>
      </c>
      <c r="J2" s="3">
        <f t="shared" ref="J2:J65" si="4">COUNT(K2:AB2)</f>
        <v>16</v>
      </c>
      <c r="K2">
        <v>25.9</v>
      </c>
      <c r="L2">
        <v>22.5</v>
      </c>
      <c r="M2">
        <v>22.9</v>
      </c>
      <c r="N2">
        <v>48.7</v>
      </c>
      <c r="O2">
        <v>13.8</v>
      </c>
      <c r="P2">
        <v>14.2</v>
      </c>
      <c r="Q2">
        <v>22.6</v>
      </c>
      <c r="R2">
        <v>29.8</v>
      </c>
      <c r="S2" t="s">
        <v>7</v>
      </c>
      <c r="T2">
        <v>20.2</v>
      </c>
      <c r="U2">
        <v>21.3</v>
      </c>
      <c r="V2">
        <v>30.9</v>
      </c>
      <c r="W2">
        <v>22.3</v>
      </c>
      <c r="X2">
        <v>16.3</v>
      </c>
      <c r="Y2">
        <v>41.7</v>
      </c>
      <c r="Z2">
        <v>25.1</v>
      </c>
      <c r="AA2">
        <v>13.1</v>
      </c>
      <c r="AB2" t="s">
        <v>8</v>
      </c>
    </row>
    <row r="3" spans="1:28" x14ac:dyDescent="0.25">
      <c r="A3">
        <v>2</v>
      </c>
      <c r="B3" t="s">
        <v>39</v>
      </c>
      <c r="C3" t="s">
        <v>40</v>
      </c>
      <c r="D3" s="6">
        <f t="shared" si="0"/>
        <v>15.7</v>
      </c>
      <c r="E3">
        <v>17.100000000000001</v>
      </c>
      <c r="F3">
        <v>290.5</v>
      </c>
      <c r="G3" s="3">
        <f t="shared" si="1"/>
        <v>13</v>
      </c>
      <c r="H3" s="3">
        <f t="shared" si="2"/>
        <v>7</v>
      </c>
      <c r="I3" s="3">
        <f t="shared" si="3"/>
        <v>1</v>
      </c>
      <c r="J3" s="3">
        <f t="shared" si="4"/>
        <v>17</v>
      </c>
      <c r="K3">
        <v>15.7</v>
      </c>
      <c r="L3">
        <v>0.9</v>
      </c>
      <c r="M3">
        <v>3.7</v>
      </c>
      <c r="N3">
        <v>9.9</v>
      </c>
      <c r="O3">
        <v>28.4</v>
      </c>
      <c r="P3">
        <v>20.3</v>
      </c>
      <c r="Q3" t="s">
        <v>7</v>
      </c>
      <c r="R3">
        <v>21.3</v>
      </c>
      <c r="S3">
        <v>10</v>
      </c>
      <c r="T3">
        <v>10.5</v>
      </c>
      <c r="U3">
        <v>18.3</v>
      </c>
      <c r="V3">
        <v>11.9</v>
      </c>
      <c r="W3">
        <v>10.5</v>
      </c>
      <c r="X3">
        <v>26.6</v>
      </c>
      <c r="Y3">
        <v>2.8</v>
      </c>
      <c r="Z3">
        <v>43.1</v>
      </c>
      <c r="AA3">
        <v>27.6</v>
      </c>
      <c r="AB3">
        <v>29</v>
      </c>
    </row>
    <row r="4" spans="1:28" x14ac:dyDescent="0.25">
      <c r="A4">
        <v>3</v>
      </c>
      <c r="B4" t="s">
        <v>71</v>
      </c>
      <c r="C4" t="s">
        <v>66</v>
      </c>
      <c r="D4" s="6">
        <f t="shared" si="0"/>
        <v>17.2</v>
      </c>
      <c r="E4">
        <v>16.600000000000001</v>
      </c>
      <c r="F4">
        <v>282.39999999999998</v>
      </c>
      <c r="G4" s="3">
        <f t="shared" si="1"/>
        <v>12</v>
      </c>
      <c r="H4" s="3">
        <f t="shared" si="2"/>
        <v>6</v>
      </c>
      <c r="I4" s="3">
        <f t="shared" si="3"/>
        <v>1</v>
      </c>
      <c r="J4" s="3">
        <f t="shared" si="4"/>
        <v>17</v>
      </c>
      <c r="K4">
        <v>21.4</v>
      </c>
      <c r="L4">
        <v>6.2</v>
      </c>
      <c r="M4">
        <v>17.8</v>
      </c>
      <c r="N4">
        <v>10.199999999999999</v>
      </c>
      <c r="O4">
        <v>36.4</v>
      </c>
      <c r="P4">
        <v>23.3</v>
      </c>
      <c r="Q4">
        <v>22.7</v>
      </c>
      <c r="R4">
        <v>25.9</v>
      </c>
      <c r="S4" t="s">
        <v>7</v>
      </c>
      <c r="T4">
        <v>6.4</v>
      </c>
      <c r="U4">
        <v>8.9</v>
      </c>
      <c r="V4">
        <v>12.6</v>
      </c>
      <c r="W4">
        <v>17.899999999999999</v>
      </c>
      <c r="X4">
        <v>17.2</v>
      </c>
      <c r="Y4">
        <v>9.9</v>
      </c>
      <c r="Z4">
        <v>6.1</v>
      </c>
      <c r="AA4">
        <v>25.8</v>
      </c>
      <c r="AB4">
        <v>13.7</v>
      </c>
    </row>
    <row r="5" spans="1:28" x14ac:dyDescent="0.25">
      <c r="A5">
        <v>4</v>
      </c>
      <c r="B5" t="s">
        <v>51</v>
      </c>
      <c r="C5" t="s">
        <v>34</v>
      </c>
      <c r="D5" s="6">
        <f t="shared" si="0"/>
        <v>17.8</v>
      </c>
      <c r="E5">
        <v>15.8</v>
      </c>
      <c r="F5">
        <v>267.89999999999998</v>
      </c>
      <c r="G5" s="3">
        <f t="shared" si="1"/>
        <v>13</v>
      </c>
      <c r="H5" s="3">
        <f t="shared" si="2"/>
        <v>4</v>
      </c>
      <c r="I5" s="3">
        <f t="shared" si="3"/>
        <v>0</v>
      </c>
      <c r="J5" s="3">
        <f t="shared" si="4"/>
        <v>17</v>
      </c>
      <c r="K5">
        <v>6.9</v>
      </c>
      <c r="L5">
        <v>21.3</v>
      </c>
      <c r="M5">
        <v>7.2</v>
      </c>
      <c r="N5">
        <v>10.8</v>
      </c>
      <c r="O5" t="s">
        <v>7</v>
      </c>
      <c r="P5">
        <v>6.8</v>
      </c>
      <c r="Q5">
        <v>15.9</v>
      </c>
      <c r="R5">
        <v>17.899999999999999</v>
      </c>
      <c r="S5">
        <v>27.9</v>
      </c>
      <c r="T5">
        <v>17.8</v>
      </c>
      <c r="U5">
        <v>17.8</v>
      </c>
      <c r="V5">
        <v>13</v>
      </c>
      <c r="W5">
        <v>19.600000000000001</v>
      </c>
      <c r="X5">
        <v>21.5</v>
      </c>
      <c r="Y5">
        <v>21.9</v>
      </c>
      <c r="Z5">
        <v>19.7</v>
      </c>
      <c r="AA5">
        <v>8.6</v>
      </c>
      <c r="AB5">
        <v>13.3</v>
      </c>
    </row>
    <row r="6" spans="1:28" x14ac:dyDescent="0.25">
      <c r="A6">
        <v>5</v>
      </c>
      <c r="B6" t="s">
        <v>96</v>
      </c>
      <c r="C6" t="s">
        <v>97</v>
      </c>
      <c r="D6" s="6">
        <f t="shared" si="0"/>
        <v>14.5</v>
      </c>
      <c r="E6">
        <v>17.8</v>
      </c>
      <c r="F6">
        <v>267.7</v>
      </c>
      <c r="G6" s="3">
        <f t="shared" si="1"/>
        <v>13</v>
      </c>
      <c r="H6" s="3">
        <f t="shared" si="2"/>
        <v>5</v>
      </c>
      <c r="I6" s="3">
        <f t="shared" si="3"/>
        <v>2</v>
      </c>
      <c r="J6" s="3">
        <f t="shared" si="4"/>
        <v>15</v>
      </c>
      <c r="K6">
        <v>13</v>
      </c>
      <c r="L6">
        <v>25.7</v>
      </c>
      <c r="M6">
        <v>45.2</v>
      </c>
      <c r="N6">
        <v>5.5</v>
      </c>
      <c r="O6">
        <v>15.8</v>
      </c>
      <c r="P6">
        <v>34.200000000000003</v>
      </c>
      <c r="Q6">
        <v>6.1</v>
      </c>
      <c r="R6">
        <v>10.6</v>
      </c>
      <c r="S6">
        <v>14.5</v>
      </c>
      <c r="T6" t="s">
        <v>8</v>
      </c>
      <c r="U6">
        <v>10.3</v>
      </c>
      <c r="V6">
        <v>21.4</v>
      </c>
      <c r="W6">
        <v>12.1</v>
      </c>
      <c r="X6">
        <v>23</v>
      </c>
      <c r="Y6">
        <v>18.3</v>
      </c>
      <c r="Z6">
        <v>12</v>
      </c>
      <c r="AA6" t="s">
        <v>8</v>
      </c>
      <c r="AB6" t="s">
        <v>8</v>
      </c>
    </row>
    <row r="7" spans="1:28" x14ac:dyDescent="0.25">
      <c r="A7">
        <v>6</v>
      </c>
      <c r="B7" t="s">
        <v>31</v>
      </c>
      <c r="C7" t="s">
        <v>32</v>
      </c>
      <c r="D7" s="6">
        <f t="shared" si="0"/>
        <v>14</v>
      </c>
      <c r="E7">
        <v>15.7</v>
      </c>
      <c r="F7">
        <v>267</v>
      </c>
      <c r="G7" s="3">
        <f t="shared" si="1"/>
        <v>13</v>
      </c>
      <c r="H7" s="3">
        <f t="shared" si="2"/>
        <v>5</v>
      </c>
      <c r="I7" s="3">
        <f t="shared" si="3"/>
        <v>0</v>
      </c>
      <c r="J7" s="3">
        <f t="shared" si="4"/>
        <v>17</v>
      </c>
      <c r="K7">
        <v>10.3</v>
      </c>
      <c r="L7">
        <v>13.5</v>
      </c>
      <c r="M7">
        <v>14</v>
      </c>
      <c r="N7">
        <v>8.6</v>
      </c>
      <c r="O7">
        <v>13.4</v>
      </c>
      <c r="P7">
        <v>9.1999999999999993</v>
      </c>
      <c r="Q7" t="s">
        <v>7</v>
      </c>
      <c r="R7">
        <v>20</v>
      </c>
      <c r="S7">
        <v>17.8</v>
      </c>
      <c r="T7">
        <v>12.5</v>
      </c>
      <c r="U7">
        <v>21</v>
      </c>
      <c r="V7">
        <v>8</v>
      </c>
      <c r="W7">
        <v>29.7</v>
      </c>
      <c r="X7">
        <v>21.5</v>
      </c>
      <c r="Y7">
        <v>15.1</v>
      </c>
      <c r="Z7">
        <v>9</v>
      </c>
      <c r="AA7">
        <v>18.7</v>
      </c>
      <c r="AB7">
        <v>24.7</v>
      </c>
    </row>
    <row r="8" spans="1:28" x14ac:dyDescent="0.25">
      <c r="A8">
        <v>7</v>
      </c>
      <c r="B8" t="s">
        <v>19</v>
      </c>
      <c r="C8" t="s">
        <v>20</v>
      </c>
      <c r="D8" s="6">
        <f t="shared" si="0"/>
        <v>21</v>
      </c>
      <c r="E8">
        <v>21.3</v>
      </c>
      <c r="F8">
        <v>255</v>
      </c>
      <c r="G8" s="3">
        <f t="shared" si="1"/>
        <v>10</v>
      </c>
      <c r="H8" s="3">
        <f t="shared" si="2"/>
        <v>7</v>
      </c>
      <c r="I8" s="3">
        <f t="shared" si="3"/>
        <v>2</v>
      </c>
      <c r="J8" s="3">
        <f t="shared" si="4"/>
        <v>12</v>
      </c>
      <c r="K8">
        <v>17.399999999999999</v>
      </c>
      <c r="L8">
        <v>28</v>
      </c>
      <c r="M8">
        <v>8.5</v>
      </c>
      <c r="N8">
        <v>27.7</v>
      </c>
      <c r="O8">
        <v>7.7</v>
      </c>
      <c r="P8">
        <v>21.8</v>
      </c>
      <c r="Q8" t="s">
        <v>8</v>
      </c>
      <c r="R8" t="s">
        <v>8</v>
      </c>
      <c r="S8" t="s">
        <v>8</v>
      </c>
      <c r="T8" t="s">
        <v>7</v>
      </c>
      <c r="U8" t="s">
        <v>8</v>
      </c>
      <c r="V8">
        <v>38.4</v>
      </c>
      <c r="W8">
        <v>20.2</v>
      </c>
      <c r="X8">
        <v>14.3</v>
      </c>
      <c r="Y8">
        <v>24.5</v>
      </c>
      <c r="Z8">
        <v>16.399999999999999</v>
      </c>
      <c r="AA8">
        <v>30.1</v>
      </c>
      <c r="AB8" t="s">
        <v>8</v>
      </c>
    </row>
    <row r="9" spans="1:28" x14ac:dyDescent="0.25">
      <c r="A9">
        <v>8</v>
      </c>
      <c r="B9" t="s">
        <v>11</v>
      </c>
      <c r="C9" t="s">
        <v>12</v>
      </c>
      <c r="D9" s="6">
        <f t="shared" si="0"/>
        <v>18.100000000000001</v>
      </c>
      <c r="E9">
        <v>14.5</v>
      </c>
      <c r="F9">
        <v>246.7</v>
      </c>
      <c r="G9" s="3">
        <f t="shared" si="1"/>
        <v>11</v>
      </c>
      <c r="H9" s="3">
        <f t="shared" si="2"/>
        <v>5</v>
      </c>
      <c r="I9" s="3">
        <f t="shared" si="3"/>
        <v>0</v>
      </c>
      <c r="J9" s="3">
        <f t="shared" si="4"/>
        <v>17</v>
      </c>
      <c r="K9">
        <v>13.9</v>
      </c>
      <c r="L9">
        <v>18.5</v>
      </c>
      <c r="M9">
        <v>2</v>
      </c>
      <c r="N9">
        <v>24.4</v>
      </c>
      <c r="O9">
        <v>9.1999999999999993</v>
      </c>
      <c r="P9">
        <v>19.3</v>
      </c>
      <c r="Q9" t="s">
        <v>8</v>
      </c>
      <c r="R9">
        <v>16.2</v>
      </c>
      <c r="S9">
        <v>19.2</v>
      </c>
      <c r="T9">
        <v>3</v>
      </c>
      <c r="U9">
        <v>5.4</v>
      </c>
      <c r="V9">
        <v>20.6</v>
      </c>
      <c r="W9">
        <v>25</v>
      </c>
      <c r="X9">
        <v>18.100000000000001</v>
      </c>
      <c r="Y9">
        <v>5</v>
      </c>
      <c r="Z9">
        <v>21.4</v>
      </c>
      <c r="AA9">
        <v>4.2</v>
      </c>
      <c r="AB9">
        <v>21.3</v>
      </c>
    </row>
    <row r="10" spans="1:28" x14ac:dyDescent="0.25">
      <c r="A10">
        <v>9</v>
      </c>
      <c r="B10" t="s">
        <v>13</v>
      </c>
      <c r="C10" t="s">
        <v>14</v>
      </c>
      <c r="D10" s="6">
        <f t="shared" si="0"/>
        <v>13</v>
      </c>
      <c r="E10">
        <v>14.5</v>
      </c>
      <c r="F10">
        <v>246.3</v>
      </c>
      <c r="G10" s="3">
        <f t="shared" si="1"/>
        <v>14</v>
      </c>
      <c r="H10" s="3">
        <f t="shared" si="2"/>
        <v>4</v>
      </c>
      <c r="I10" s="3">
        <f t="shared" si="3"/>
        <v>0</v>
      </c>
      <c r="J10" s="3">
        <f t="shared" si="4"/>
        <v>17</v>
      </c>
      <c r="K10">
        <v>20.3</v>
      </c>
      <c r="L10">
        <v>21.2</v>
      </c>
      <c r="M10">
        <v>10</v>
      </c>
      <c r="N10">
        <v>18.7</v>
      </c>
      <c r="O10">
        <v>11.8</v>
      </c>
      <c r="P10">
        <v>13</v>
      </c>
      <c r="Q10">
        <v>0.3</v>
      </c>
      <c r="R10">
        <v>12.2</v>
      </c>
      <c r="S10">
        <v>5.9</v>
      </c>
      <c r="T10">
        <v>17.600000000000001</v>
      </c>
      <c r="U10" t="s">
        <v>7</v>
      </c>
      <c r="V10">
        <v>27.3</v>
      </c>
      <c r="W10">
        <v>10.9</v>
      </c>
      <c r="X10">
        <v>19.8</v>
      </c>
      <c r="Y10">
        <v>0.4</v>
      </c>
      <c r="Z10">
        <v>19.2</v>
      </c>
      <c r="AA10">
        <v>11.6</v>
      </c>
      <c r="AB10">
        <v>26.1</v>
      </c>
    </row>
    <row r="11" spans="1:28" x14ac:dyDescent="0.25">
      <c r="A11">
        <v>10</v>
      </c>
      <c r="B11" t="s">
        <v>9</v>
      </c>
      <c r="C11" t="s">
        <v>10</v>
      </c>
      <c r="D11" s="6">
        <f t="shared" si="0"/>
        <v>12.6</v>
      </c>
      <c r="E11">
        <v>16.100000000000001</v>
      </c>
      <c r="F11">
        <v>242.1</v>
      </c>
      <c r="G11" s="3">
        <f t="shared" si="1"/>
        <v>9</v>
      </c>
      <c r="H11" s="3">
        <f t="shared" si="2"/>
        <v>6</v>
      </c>
      <c r="I11" s="3">
        <f t="shared" si="3"/>
        <v>0</v>
      </c>
      <c r="J11" s="3">
        <f t="shared" si="4"/>
        <v>15</v>
      </c>
      <c r="K11">
        <v>8</v>
      </c>
      <c r="L11">
        <v>12.6</v>
      </c>
      <c r="M11">
        <v>9.1999999999999993</v>
      </c>
      <c r="N11">
        <v>9.1</v>
      </c>
      <c r="O11" t="s">
        <v>8</v>
      </c>
      <c r="P11" t="s">
        <v>8</v>
      </c>
      <c r="Q11">
        <v>27.6</v>
      </c>
      <c r="R11">
        <v>29.9</v>
      </c>
      <c r="S11" t="s">
        <v>7</v>
      </c>
      <c r="T11">
        <v>26.2</v>
      </c>
      <c r="U11">
        <v>21.5</v>
      </c>
      <c r="V11">
        <v>11.3</v>
      </c>
      <c r="W11">
        <v>6.4</v>
      </c>
      <c r="X11">
        <v>17.2</v>
      </c>
      <c r="Y11">
        <v>24.8</v>
      </c>
      <c r="Z11">
        <v>24</v>
      </c>
      <c r="AA11">
        <v>5.3</v>
      </c>
      <c r="AB11">
        <v>9</v>
      </c>
    </row>
    <row r="12" spans="1:28" x14ac:dyDescent="0.25">
      <c r="A12">
        <v>11</v>
      </c>
      <c r="B12" t="s">
        <v>25</v>
      </c>
      <c r="C12" t="s">
        <v>26</v>
      </c>
      <c r="D12" s="6">
        <f t="shared" si="0"/>
        <v>17.399999999999999</v>
      </c>
      <c r="E12">
        <v>17.899999999999999</v>
      </c>
      <c r="F12">
        <v>233</v>
      </c>
      <c r="G12" s="3">
        <f t="shared" si="1"/>
        <v>11</v>
      </c>
      <c r="H12" s="3">
        <f t="shared" si="2"/>
        <v>4</v>
      </c>
      <c r="I12" s="3">
        <f t="shared" si="3"/>
        <v>0</v>
      </c>
      <c r="J12" s="3">
        <f t="shared" si="4"/>
        <v>13</v>
      </c>
      <c r="K12" t="s">
        <v>8</v>
      </c>
      <c r="L12" t="s">
        <v>8</v>
      </c>
      <c r="M12" t="s">
        <v>8</v>
      </c>
      <c r="N12">
        <v>21.4</v>
      </c>
      <c r="O12">
        <v>18.7</v>
      </c>
      <c r="P12">
        <v>17.399999999999999</v>
      </c>
      <c r="Q12">
        <v>29.3</v>
      </c>
      <c r="R12">
        <v>27</v>
      </c>
      <c r="S12">
        <v>11</v>
      </c>
      <c r="T12">
        <v>18.5</v>
      </c>
      <c r="U12" t="s">
        <v>7</v>
      </c>
      <c r="V12">
        <v>15.9</v>
      </c>
      <c r="W12">
        <v>28.9</v>
      </c>
      <c r="X12">
        <v>13.5</v>
      </c>
      <c r="Y12">
        <v>16</v>
      </c>
      <c r="Z12">
        <v>8.5</v>
      </c>
      <c r="AA12">
        <v>6.9</v>
      </c>
      <c r="AB12" t="s">
        <v>8</v>
      </c>
    </row>
    <row r="13" spans="1:28" x14ac:dyDescent="0.25">
      <c r="A13">
        <v>12</v>
      </c>
      <c r="B13" t="s">
        <v>21</v>
      </c>
      <c r="C13" t="s">
        <v>22</v>
      </c>
      <c r="D13" s="6">
        <f t="shared" si="0"/>
        <v>12</v>
      </c>
      <c r="E13">
        <v>13.7</v>
      </c>
      <c r="F13">
        <v>232.7</v>
      </c>
      <c r="G13" s="3">
        <f t="shared" si="1"/>
        <v>10</v>
      </c>
      <c r="H13" s="3">
        <f t="shared" si="2"/>
        <v>2</v>
      </c>
      <c r="I13" s="3">
        <f t="shared" si="3"/>
        <v>1</v>
      </c>
      <c r="J13" s="3">
        <f t="shared" si="4"/>
        <v>17</v>
      </c>
      <c r="K13">
        <v>10.3</v>
      </c>
      <c r="L13">
        <v>19.899999999999999</v>
      </c>
      <c r="M13">
        <v>13.2</v>
      </c>
      <c r="N13">
        <v>14.7</v>
      </c>
      <c r="O13">
        <v>5.0999999999999996</v>
      </c>
      <c r="P13">
        <v>7.1</v>
      </c>
      <c r="Q13">
        <v>19.2</v>
      </c>
      <c r="R13">
        <v>8.3000000000000007</v>
      </c>
      <c r="S13">
        <v>7.9</v>
      </c>
      <c r="T13">
        <v>12</v>
      </c>
      <c r="U13">
        <v>19.2</v>
      </c>
      <c r="V13">
        <v>16</v>
      </c>
      <c r="W13" t="s">
        <v>7</v>
      </c>
      <c r="X13">
        <v>25.1</v>
      </c>
      <c r="Y13">
        <v>36.1</v>
      </c>
      <c r="Z13">
        <v>5</v>
      </c>
      <c r="AA13">
        <v>5.4</v>
      </c>
      <c r="AB13">
        <v>8.1999999999999993</v>
      </c>
    </row>
    <row r="14" spans="1:28" x14ac:dyDescent="0.25">
      <c r="A14">
        <v>13</v>
      </c>
      <c r="B14" t="s">
        <v>5</v>
      </c>
      <c r="C14" t="s">
        <v>6</v>
      </c>
      <c r="D14" s="6">
        <f t="shared" si="0"/>
        <v>15.05</v>
      </c>
      <c r="E14">
        <v>15.9</v>
      </c>
      <c r="F14">
        <v>223.2</v>
      </c>
      <c r="G14" s="3">
        <f t="shared" si="1"/>
        <v>9</v>
      </c>
      <c r="H14" s="3">
        <f t="shared" si="2"/>
        <v>4</v>
      </c>
      <c r="I14" s="3">
        <f t="shared" si="3"/>
        <v>1</v>
      </c>
      <c r="J14" s="3">
        <f t="shared" si="4"/>
        <v>14</v>
      </c>
      <c r="K14">
        <v>9.3000000000000007</v>
      </c>
      <c r="L14">
        <v>27.2</v>
      </c>
      <c r="M14" t="s">
        <v>8</v>
      </c>
      <c r="N14" t="s">
        <v>8</v>
      </c>
      <c r="O14" t="s">
        <v>8</v>
      </c>
      <c r="P14">
        <v>13.8</v>
      </c>
      <c r="Q14">
        <v>18.8</v>
      </c>
      <c r="R14">
        <v>15.8</v>
      </c>
      <c r="S14">
        <v>14.3</v>
      </c>
      <c r="T14">
        <v>7.1</v>
      </c>
      <c r="U14">
        <v>30</v>
      </c>
      <c r="V14">
        <v>6.2</v>
      </c>
      <c r="W14" t="s">
        <v>8</v>
      </c>
      <c r="X14">
        <v>23.1</v>
      </c>
      <c r="Y14">
        <v>5.7</v>
      </c>
      <c r="Z14">
        <v>19.399999999999999</v>
      </c>
      <c r="AA14">
        <v>8.8000000000000007</v>
      </c>
      <c r="AB14">
        <v>23.7</v>
      </c>
    </row>
    <row r="15" spans="1:28" x14ac:dyDescent="0.25">
      <c r="A15">
        <v>14</v>
      </c>
      <c r="B15" t="s">
        <v>46</v>
      </c>
      <c r="C15" t="s">
        <v>47</v>
      </c>
      <c r="D15" s="6">
        <f t="shared" si="0"/>
        <v>15.1</v>
      </c>
      <c r="E15">
        <v>13.1</v>
      </c>
      <c r="F15">
        <v>222.6</v>
      </c>
      <c r="G15" s="3">
        <f t="shared" si="1"/>
        <v>9</v>
      </c>
      <c r="H15" s="3">
        <f t="shared" si="2"/>
        <v>2</v>
      </c>
      <c r="I15" s="3">
        <f t="shared" si="3"/>
        <v>0</v>
      </c>
      <c r="J15" s="3">
        <f t="shared" si="4"/>
        <v>17</v>
      </c>
      <c r="K15">
        <v>22.2</v>
      </c>
      <c r="L15">
        <v>19.899999999999999</v>
      </c>
      <c r="M15">
        <v>15.1</v>
      </c>
      <c r="N15">
        <v>9</v>
      </c>
      <c r="O15">
        <v>8.4</v>
      </c>
      <c r="P15">
        <v>17</v>
      </c>
      <c r="Q15" t="s">
        <v>7</v>
      </c>
      <c r="R15">
        <v>6.5</v>
      </c>
      <c r="S15">
        <v>9.3000000000000007</v>
      </c>
      <c r="T15">
        <v>5.5</v>
      </c>
      <c r="U15">
        <v>18</v>
      </c>
      <c r="V15">
        <v>22.3</v>
      </c>
      <c r="W15">
        <v>17.3</v>
      </c>
      <c r="X15">
        <v>16.600000000000001</v>
      </c>
      <c r="Y15">
        <v>7.7</v>
      </c>
      <c r="Z15">
        <v>5.3</v>
      </c>
      <c r="AA15">
        <v>5.9</v>
      </c>
      <c r="AB15">
        <v>16.600000000000001</v>
      </c>
    </row>
    <row r="16" spans="1:28" x14ac:dyDescent="0.25">
      <c r="A16">
        <v>15</v>
      </c>
      <c r="B16" t="s">
        <v>102</v>
      </c>
      <c r="C16" t="s">
        <v>62</v>
      </c>
      <c r="D16" s="6">
        <f t="shared" si="0"/>
        <v>14.600000000000001</v>
      </c>
      <c r="E16">
        <v>15.3</v>
      </c>
      <c r="F16">
        <v>213.9</v>
      </c>
      <c r="G16" s="3">
        <f t="shared" si="1"/>
        <v>10</v>
      </c>
      <c r="H16" s="3">
        <f t="shared" si="2"/>
        <v>4</v>
      </c>
      <c r="I16" s="3">
        <f t="shared" si="3"/>
        <v>0</v>
      </c>
      <c r="J16" s="3">
        <f t="shared" si="4"/>
        <v>14</v>
      </c>
      <c r="K16">
        <v>9.4</v>
      </c>
      <c r="L16">
        <v>8</v>
      </c>
      <c r="M16">
        <v>15.8</v>
      </c>
      <c r="N16">
        <v>24.8</v>
      </c>
      <c r="O16">
        <v>13.4</v>
      </c>
      <c r="P16">
        <v>15.8</v>
      </c>
      <c r="Q16">
        <v>16</v>
      </c>
      <c r="R16">
        <v>6.7</v>
      </c>
      <c r="S16">
        <v>6.6</v>
      </c>
      <c r="T16" t="s">
        <v>7</v>
      </c>
      <c r="U16">
        <v>10.1</v>
      </c>
      <c r="V16">
        <v>25.9</v>
      </c>
      <c r="W16">
        <v>21.3</v>
      </c>
      <c r="X16" t="s">
        <v>8</v>
      </c>
      <c r="Y16" t="s">
        <v>8</v>
      </c>
      <c r="Z16">
        <v>10.6</v>
      </c>
      <c r="AA16">
        <v>29.5</v>
      </c>
      <c r="AB16" t="s">
        <v>8</v>
      </c>
    </row>
    <row r="17" spans="1:28" x14ac:dyDescent="0.25">
      <c r="A17">
        <v>16</v>
      </c>
      <c r="B17" t="s">
        <v>68</v>
      </c>
      <c r="C17" t="s">
        <v>69</v>
      </c>
      <c r="D17" s="6">
        <f t="shared" si="0"/>
        <v>11.9</v>
      </c>
      <c r="E17">
        <v>12.4</v>
      </c>
      <c r="F17">
        <v>211.2</v>
      </c>
      <c r="G17" s="3">
        <f t="shared" si="1"/>
        <v>11</v>
      </c>
      <c r="H17" s="3">
        <f t="shared" si="2"/>
        <v>2</v>
      </c>
      <c r="I17" s="3">
        <f t="shared" si="3"/>
        <v>0</v>
      </c>
      <c r="J17" s="3">
        <f t="shared" si="4"/>
        <v>17</v>
      </c>
      <c r="K17">
        <v>1.6</v>
      </c>
      <c r="L17">
        <v>24.1</v>
      </c>
      <c r="M17">
        <v>19.100000000000001</v>
      </c>
      <c r="N17">
        <v>9.5</v>
      </c>
      <c r="O17" t="s">
        <v>7</v>
      </c>
      <c r="P17">
        <v>11.1</v>
      </c>
      <c r="Q17">
        <v>17.399999999999999</v>
      </c>
      <c r="R17">
        <v>4.9000000000000004</v>
      </c>
      <c r="S17">
        <v>12.7</v>
      </c>
      <c r="T17">
        <v>11.9</v>
      </c>
      <c r="U17">
        <v>11.9</v>
      </c>
      <c r="V17">
        <v>11.9</v>
      </c>
      <c r="W17">
        <v>14.2</v>
      </c>
      <c r="X17">
        <v>13.2</v>
      </c>
      <c r="Y17">
        <v>7.1</v>
      </c>
      <c r="Z17">
        <v>9.3000000000000007</v>
      </c>
      <c r="AA17">
        <v>26.1</v>
      </c>
      <c r="AB17">
        <v>5.2</v>
      </c>
    </row>
    <row r="18" spans="1:28" x14ac:dyDescent="0.25">
      <c r="A18">
        <v>17</v>
      </c>
      <c r="B18" t="s">
        <v>41</v>
      </c>
      <c r="C18" t="s">
        <v>10</v>
      </c>
      <c r="D18" s="6">
        <f t="shared" si="0"/>
        <v>12.95</v>
      </c>
      <c r="E18">
        <v>14.8</v>
      </c>
      <c r="F18">
        <v>207.2</v>
      </c>
      <c r="G18" s="3">
        <f t="shared" si="1"/>
        <v>13</v>
      </c>
      <c r="H18" s="3">
        <f t="shared" si="2"/>
        <v>2</v>
      </c>
      <c r="I18" s="3">
        <f t="shared" si="3"/>
        <v>1</v>
      </c>
      <c r="J18" s="3">
        <f t="shared" si="4"/>
        <v>14</v>
      </c>
      <c r="K18">
        <v>13.4</v>
      </c>
      <c r="L18">
        <v>12.4</v>
      </c>
      <c r="M18" t="s">
        <v>8</v>
      </c>
      <c r="N18">
        <v>34.1</v>
      </c>
      <c r="O18">
        <v>20.9</v>
      </c>
      <c r="P18">
        <v>4.3</v>
      </c>
      <c r="Q18" t="s">
        <v>8</v>
      </c>
      <c r="R18" t="s">
        <v>8</v>
      </c>
      <c r="S18" t="s">
        <v>7</v>
      </c>
      <c r="T18">
        <v>17.600000000000001</v>
      </c>
      <c r="U18">
        <v>17.8</v>
      </c>
      <c r="V18">
        <v>15.1</v>
      </c>
      <c r="W18">
        <v>12.5</v>
      </c>
      <c r="X18">
        <v>11.5</v>
      </c>
      <c r="Y18">
        <v>10.199999999999999</v>
      </c>
      <c r="Z18">
        <v>14.9</v>
      </c>
      <c r="AA18">
        <v>12.5</v>
      </c>
      <c r="AB18">
        <v>10</v>
      </c>
    </row>
    <row r="19" spans="1:28" x14ac:dyDescent="0.25">
      <c r="A19">
        <v>18</v>
      </c>
      <c r="B19" t="s">
        <v>27</v>
      </c>
      <c r="C19" t="s">
        <v>28</v>
      </c>
      <c r="D19" s="6">
        <f t="shared" si="0"/>
        <v>16.600000000000001</v>
      </c>
      <c r="E19">
        <v>15.5</v>
      </c>
      <c r="F19">
        <v>201.5</v>
      </c>
      <c r="G19" s="3">
        <f t="shared" si="1"/>
        <v>8</v>
      </c>
      <c r="H19" s="3">
        <f t="shared" si="2"/>
        <v>4</v>
      </c>
      <c r="I19" s="3">
        <f t="shared" si="3"/>
        <v>1</v>
      </c>
      <c r="J19" s="3">
        <f t="shared" si="4"/>
        <v>13</v>
      </c>
      <c r="K19">
        <v>12</v>
      </c>
      <c r="L19">
        <v>16.600000000000001</v>
      </c>
      <c r="M19">
        <v>19.600000000000001</v>
      </c>
      <c r="N19">
        <v>6.6</v>
      </c>
      <c r="O19">
        <v>4.5999999999999996</v>
      </c>
      <c r="P19" t="s">
        <v>8</v>
      </c>
      <c r="Q19" t="s">
        <v>8</v>
      </c>
      <c r="R19" t="s">
        <v>8</v>
      </c>
      <c r="S19" t="s">
        <v>8</v>
      </c>
      <c r="T19">
        <v>7.3</v>
      </c>
      <c r="U19">
        <v>8.3000000000000007</v>
      </c>
      <c r="V19">
        <v>7.2</v>
      </c>
      <c r="W19">
        <v>22.5</v>
      </c>
      <c r="X19" t="s">
        <v>7</v>
      </c>
      <c r="Y19">
        <v>17.899999999999999</v>
      </c>
      <c r="Z19">
        <v>22.2</v>
      </c>
      <c r="AA19">
        <v>26.3</v>
      </c>
      <c r="AB19">
        <v>30.4</v>
      </c>
    </row>
    <row r="20" spans="1:28" x14ac:dyDescent="0.25">
      <c r="A20">
        <v>19</v>
      </c>
      <c r="B20" t="s">
        <v>58</v>
      </c>
      <c r="C20" t="s">
        <v>53</v>
      </c>
      <c r="D20" s="6">
        <f t="shared" si="0"/>
        <v>13.1</v>
      </c>
      <c r="E20">
        <v>13.3</v>
      </c>
      <c r="F20">
        <v>199.4</v>
      </c>
      <c r="G20" s="3">
        <f t="shared" si="1"/>
        <v>9</v>
      </c>
      <c r="H20" s="3">
        <f t="shared" si="2"/>
        <v>2</v>
      </c>
      <c r="I20" s="3">
        <f t="shared" si="3"/>
        <v>1</v>
      </c>
      <c r="J20" s="3">
        <f t="shared" si="4"/>
        <v>15</v>
      </c>
      <c r="K20">
        <v>10.7</v>
      </c>
      <c r="L20">
        <v>18.399999999999999</v>
      </c>
      <c r="M20">
        <v>30.6</v>
      </c>
      <c r="N20">
        <v>13.9</v>
      </c>
      <c r="O20" t="s">
        <v>7</v>
      </c>
      <c r="P20">
        <v>17.899999999999999</v>
      </c>
      <c r="Q20">
        <v>13.1</v>
      </c>
      <c r="R20">
        <v>8</v>
      </c>
      <c r="S20">
        <v>2.7</v>
      </c>
      <c r="T20">
        <v>19.7</v>
      </c>
      <c r="U20">
        <v>2.6</v>
      </c>
      <c r="V20" t="s">
        <v>8</v>
      </c>
      <c r="W20" t="s">
        <v>8</v>
      </c>
      <c r="X20">
        <v>9.4</v>
      </c>
      <c r="Y20">
        <v>20.2</v>
      </c>
      <c r="Z20">
        <v>6.6</v>
      </c>
      <c r="AA20">
        <v>16.5</v>
      </c>
      <c r="AB20">
        <v>9.1</v>
      </c>
    </row>
    <row r="21" spans="1:28" x14ac:dyDescent="0.25">
      <c r="A21">
        <v>20</v>
      </c>
      <c r="B21" t="s">
        <v>42</v>
      </c>
      <c r="C21" t="s">
        <v>43</v>
      </c>
      <c r="D21" s="6">
        <f t="shared" si="0"/>
        <v>12.45</v>
      </c>
      <c r="E21">
        <v>12.5</v>
      </c>
      <c r="F21">
        <v>199.3</v>
      </c>
      <c r="G21" s="3">
        <f t="shared" si="1"/>
        <v>9</v>
      </c>
      <c r="H21" s="3">
        <f t="shared" si="2"/>
        <v>1</v>
      </c>
      <c r="I21" s="3">
        <f t="shared" si="3"/>
        <v>0</v>
      </c>
      <c r="J21" s="3">
        <f t="shared" si="4"/>
        <v>16</v>
      </c>
      <c r="K21">
        <v>1.3</v>
      </c>
      <c r="L21">
        <v>27.1</v>
      </c>
      <c r="M21">
        <v>14.8</v>
      </c>
      <c r="N21">
        <v>17.899999999999999</v>
      </c>
      <c r="O21">
        <v>16.8</v>
      </c>
      <c r="P21">
        <v>17.8</v>
      </c>
      <c r="Q21">
        <v>10.5</v>
      </c>
      <c r="R21">
        <v>14.4</v>
      </c>
      <c r="S21">
        <v>9.4</v>
      </c>
      <c r="T21" t="s">
        <v>8</v>
      </c>
      <c r="U21">
        <v>19.7</v>
      </c>
      <c r="V21">
        <v>9.4</v>
      </c>
      <c r="W21">
        <v>4</v>
      </c>
      <c r="X21">
        <v>3.9</v>
      </c>
      <c r="Y21">
        <v>9.5</v>
      </c>
      <c r="Z21">
        <v>15.2</v>
      </c>
      <c r="AA21">
        <v>7.6</v>
      </c>
      <c r="AB21" t="s">
        <v>8</v>
      </c>
    </row>
    <row r="22" spans="1:28" x14ac:dyDescent="0.25">
      <c r="A22">
        <v>21</v>
      </c>
      <c r="B22" t="s">
        <v>59</v>
      </c>
      <c r="C22" t="s">
        <v>60</v>
      </c>
      <c r="D22" s="6">
        <f t="shared" si="0"/>
        <v>11.6</v>
      </c>
      <c r="E22">
        <v>13.2</v>
      </c>
      <c r="F22">
        <v>198.1</v>
      </c>
      <c r="G22" s="3">
        <f t="shared" si="1"/>
        <v>9</v>
      </c>
      <c r="H22" s="3">
        <f t="shared" si="2"/>
        <v>3</v>
      </c>
      <c r="I22" s="3">
        <f t="shared" si="3"/>
        <v>0</v>
      </c>
      <c r="J22" s="3">
        <f t="shared" si="4"/>
        <v>15</v>
      </c>
      <c r="K22">
        <v>13.6</v>
      </c>
      <c r="L22">
        <v>28.9</v>
      </c>
      <c r="M22">
        <v>7</v>
      </c>
      <c r="N22">
        <v>13.1</v>
      </c>
      <c r="O22">
        <v>8.3000000000000007</v>
      </c>
      <c r="P22">
        <v>13.6</v>
      </c>
      <c r="Q22">
        <v>8.3000000000000007</v>
      </c>
      <c r="R22">
        <v>9.9</v>
      </c>
      <c r="S22">
        <v>11.7</v>
      </c>
      <c r="T22">
        <v>27.7</v>
      </c>
      <c r="U22">
        <v>20.2</v>
      </c>
      <c r="V22">
        <v>8.4</v>
      </c>
      <c r="W22">
        <v>5.3</v>
      </c>
      <c r="X22" t="s">
        <v>7</v>
      </c>
      <c r="Y22" t="s">
        <v>8</v>
      </c>
      <c r="Z22" t="s">
        <v>8</v>
      </c>
      <c r="AA22">
        <v>11.6</v>
      </c>
      <c r="AB22">
        <v>10.5</v>
      </c>
    </row>
    <row r="23" spans="1:28" x14ac:dyDescent="0.25">
      <c r="A23">
        <v>22</v>
      </c>
      <c r="B23" t="s">
        <v>77</v>
      </c>
      <c r="C23" t="s">
        <v>78</v>
      </c>
      <c r="D23" s="6">
        <f t="shared" si="0"/>
        <v>10.4</v>
      </c>
      <c r="E23">
        <v>11.6</v>
      </c>
      <c r="F23">
        <v>196.4</v>
      </c>
      <c r="G23" s="3">
        <f t="shared" si="1"/>
        <v>10</v>
      </c>
      <c r="H23" s="3">
        <f t="shared" si="2"/>
        <v>1</v>
      </c>
      <c r="I23" s="3">
        <f t="shared" si="3"/>
        <v>0</v>
      </c>
      <c r="J23" s="3">
        <f t="shared" si="4"/>
        <v>17</v>
      </c>
      <c r="K23">
        <v>6.8</v>
      </c>
      <c r="L23">
        <v>12.6</v>
      </c>
      <c r="M23">
        <v>8.1999999999999993</v>
      </c>
      <c r="N23">
        <v>11.5</v>
      </c>
      <c r="O23">
        <v>10.9</v>
      </c>
      <c r="P23" t="s">
        <v>7</v>
      </c>
      <c r="Q23">
        <v>10.1</v>
      </c>
      <c r="R23">
        <v>7.8</v>
      </c>
      <c r="S23">
        <v>14.3</v>
      </c>
      <c r="T23">
        <v>19</v>
      </c>
      <c r="U23">
        <v>23.5</v>
      </c>
      <c r="V23">
        <v>7.2</v>
      </c>
      <c r="W23">
        <v>6.5</v>
      </c>
      <c r="X23">
        <v>8</v>
      </c>
      <c r="Y23">
        <v>11.8</v>
      </c>
      <c r="Z23">
        <v>10.4</v>
      </c>
      <c r="AA23">
        <v>19.8</v>
      </c>
      <c r="AB23">
        <v>8</v>
      </c>
    </row>
    <row r="24" spans="1:28" x14ac:dyDescent="0.25">
      <c r="A24">
        <v>23</v>
      </c>
      <c r="B24" t="s">
        <v>44</v>
      </c>
      <c r="C24" t="s">
        <v>45</v>
      </c>
      <c r="D24" s="6">
        <f t="shared" si="0"/>
        <v>10.5</v>
      </c>
      <c r="E24">
        <v>11.5</v>
      </c>
      <c r="F24">
        <v>195.5</v>
      </c>
      <c r="G24" s="3">
        <f t="shared" si="1"/>
        <v>9</v>
      </c>
      <c r="H24" s="3">
        <f t="shared" si="2"/>
        <v>2</v>
      </c>
      <c r="I24" s="3">
        <f t="shared" si="3"/>
        <v>0</v>
      </c>
      <c r="J24" s="3">
        <f t="shared" si="4"/>
        <v>17</v>
      </c>
      <c r="K24">
        <v>5.3</v>
      </c>
      <c r="L24">
        <v>5.3</v>
      </c>
      <c r="M24">
        <v>6.5</v>
      </c>
      <c r="N24">
        <v>11.3</v>
      </c>
      <c r="O24">
        <v>5</v>
      </c>
      <c r="P24" t="s">
        <v>8</v>
      </c>
      <c r="Q24">
        <v>15.8</v>
      </c>
      <c r="R24">
        <v>10.5</v>
      </c>
      <c r="S24">
        <v>15.6</v>
      </c>
      <c r="T24">
        <v>18.600000000000001</v>
      </c>
      <c r="U24">
        <v>4.5999999999999996</v>
      </c>
      <c r="V24">
        <v>15.9</v>
      </c>
      <c r="W24">
        <v>9.6999999999999993</v>
      </c>
      <c r="X24">
        <v>7.8</v>
      </c>
      <c r="Y24">
        <v>1.3</v>
      </c>
      <c r="Z24">
        <v>13.8</v>
      </c>
      <c r="AA24">
        <v>24.2</v>
      </c>
      <c r="AB24">
        <v>24.3</v>
      </c>
    </row>
    <row r="25" spans="1:28" x14ac:dyDescent="0.25">
      <c r="A25">
        <v>24</v>
      </c>
      <c r="B25" t="s">
        <v>17</v>
      </c>
      <c r="C25" t="s">
        <v>18</v>
      </c>
      <c r="D25" s="6">
        <f t="shared" si="0"/>
        <v>13.1</v>
      </c>
      <c r="E25">
        <v>17.3</v>
      </c>
      <c r="F25">
        <v>190.7</v>
      </c>
      <c r="G25" s="3">
        <f t="shared" si="1"/>
        <v>7</v>
      </c>
      <c r="H25" s="3">
        <f t="shared" si="2"/>
        <v>5</v>
      </c>
      <c r="I25" s="3">
        <f t="shared" si="3"/>
        <v>1</v>
      </c>
      <c r="J25" s="3">
        <f t="shared" si="4"/>
        <v>11</v>
      </c>
      <c r="K25" t="s">
        <v>8</v>
      </c>
      <c r="L25">
        <v>1.9</v>
      </c>
      <c r="M25">
        <v>51.3</v>
      </c>
      <c r="N25">
        <v>27</v>
      </c>
      <c r="O25">
        <v>21.5</v>
      </c>
      <c r="P25" t="s">
        <v>8</v>
      </c>
      <c r="Q25" t="s">
        <v>8</v>
      </c>
      <c r="R25" t="s">
        <v>8</v>
      </c>
      <c r="S25" t="s">
        <v>8</v>
      </c>
      <c r="T25" t="s">
        <v>7</v>
      </c>
      <c r="U25">
        <v>1.5</v>
      </c>
      <c r="V25" t="s">
        <v>8</v>
      </c>
      <c r="W25">
        <v>25.3</v>
      </c>
      <c r="X25">
        <v>12.1</v>
      </c>
      <c r="Y25">
        <v>9.1999999999999993</v>
      </c>
      <c r="Z25">
        <v>4.0999999999999996</v>
      </c>
      <c r="AA25">
        <v>23.7</v>
      </c>
      <c r="AB25">
        <v>13.1</v>
      </c>
    </row>
    <row r="26" spans="1:28" x14ac:dyDescent="0.25">
      <c r="A26">
        <v>25</v>
      </c>
      <c r="B26" t="s">
        <v>95</v>
      </c>
      <c r="C26" t="s">
        <v>90</v>
      </c>
      <c r="D26" s="6">
        <f t="shared" si="0"/>
        <v>9.8000000000000007</v>
      </c>
      <c r="E26">
        <v>11</v>
      </c>
      <c r="F26">
        <v>187</v>
      </c>
      <c r="G26" s="3">
        <f t="shared" si="1"/>
        <v>8</v>
      </c>
      <c r="H26" s="3">
        <f t="shared" si="2"/>
        <v>3</v>
      </c>
      <c r="I26" s="3">
        <f t="shared" si="3"/>
        <v>0</v>
      </c>
      <c r="J26" s="3">
        <f t="shared" si="4"/>
        <v>17</v>
      </c>
      <c r="K26">
        <v>5.2</v>
      </c>
      <c r="L26">
        <v>12.2</v>
      </c>
      <c r="M26">
        <v>5.0999999999999996</v>
      </c>
      <c r="N26">
        <v>6.9</v>
      </c>
      <c r="O26">
        <v>4.8</v>
      </c>
      <c r="P26">
        <v>6.3</v>
      </c>
      <c r="Q26">
        <v>21.4</v>
      </c>
      <c r="R26">
        <v>29.4</v>
      </c>
      <c r="S26">
        <v>17.2</v>
      </c>
      <c r="T26">
        <v>9.8000000000000007</v>
      </c>
      <c r="U26">
        <v>21</v>
      </c>
      <c r="V26">
        <v>4.7</v>
      </c>
      <c r="W26" t="s">
        <v>8</v>
      </c>
      <c r="X26">
        <v>1.5</v>
      </c>
      <c r="Y26">
        <v>13.9</v>
      </c>
      <c r="Z26">
        <v>14</v>
      </c>
      <c r="AA26">
        <v>10.8</v>
      </c>
      <c r="AB26">
        <v>2.8</v>
      </c>
    </row>
    <row r="27" spans="1:28" x14ac:dyDescent="0.25">
      <c r="A27">
        <v>26</v>
      </c>
      <c r="B27" t="s">
        <v>70</v>
      </c>
      <c r="C27" t="s">
        <v>60</v>
      </c>
      <c r="D27" s="6">
        <f t="shared" si="0"/>
        <v>10.899999999999999</v>
      </c>
      <c r="E27">
        <v>13.2</v>
      </c>
      <c r="F27">
        <v>185.4</v>
      </c>
      <c r="G27" s="3">
        <f t="shared" si="1"/>
        <v>8</v>
      </c>
      <c r="H27" s="3">
        <f t="shared" si="2"/>
        <v>5</v>
      </c>
      <c r="I27" s="3">
        <f t="shared" si="3"/>
        <v>0</v>
      </c>
      <c r="J27" s="3">
        <f t="shared" si="4"/>
        <v>14</v>
      </c>
      <c r="K27">
        <v>26.4</v>
      </c>
      <c r="L27" t="s">
        <v>8</v>
      </c>
      <c r="M27" t="s">
        <v>8</v>
      </c>
      <c r="N27" t="s">
        <v>8</v>
      </c>
      <c r="O27" t="s">
        <v>8</v>
      </c>
      <c r="P27">
        <v>10.199999999999999</v>
      </c>
      <c r="Q27">
        <v>5.6</v>
      </c>
      <c r="R27">
        <v>23.3</v>
      </c>
      <c r="S27">
        <v>21</v>
      </c>
      <c r="T27">
        <v>21.5</v>
      </c>
      <c r="U27">
        <v>7</v>
      </c>
      <c r="V27">
        <v>9.4</v>
      </c>
      <c r="W27">
        <v>4.7</v>
      </c>
      <c r="X27">
        <v>21</v>
      </c>
      <c r="Y27">
        <v>7.8</v>
      </c>
      <c r="Z27">
        <v>11.6</v>
      </c>
      <c r="AA27">
        <v>4</v>
      </c>
      <c r="AB27">
        <v>11.9</v>
      </c>
    </row>
    <row r="28" spans="1:28" x14ac:dyDescent="0.25">
      <c r="A28">
        <v>27</v>
      </c>
      <c r="B28" t="s">
        <v>35</v>
      </c>
      <c r="C28" t="s">
        <v>36</v>
      </c>
      <c r="D28" s="6">
        <f t="shared" si="0"/>
        <v>10.7</v>
      </c>
      <c r="E28">
        <v>10.7</v>
      </c>
      <c r="F28">
        <v>182.5</v>
      </c>
      <c r="G28" s="3">
        <f t="shared" si="1"/>
        <v>10</v>
      </c>
      <c r="H28" s="3">
        <f t="shared" si="2"/>
        <v>2</v>
      </c>
      <c r="I28" s="3">
        <f t="shared" si="3"/>
        <v>0</v>
      </c>
      <c r="J28" s="3">
        <f t="shared" si="4"/>
        <v>17</v>
      </c>
      <c r="K28">
        <v>8.9</v>
      </c>
      <c r="L28">
        <v>10</v>
      </c>
      <c r="M28">
        <v>2.4</v>
      </c>
      <c r="N28">
        <v>7.3</v>
      </c>
      <c r="O28">
        <v>4.5</v>
      </c>
      <c r="P28">
        <v>16</v>
      </c>
      <c r="Q28" t="s">
        <v>7</v>
      </c>
      <c r="R28">
        <v>7.4</v>
      </c>
      <c r="S28">
        <v>10.7</v>
      </c>
      <c r="T28">
        <v>5.9</v>
      </c>
      <c r="U28">
        <v>8.5</v>
      </c>
      <c r="V28">
        <v>20.2</v>
      </c>
      <c r="W28">
        <v>22.4</v>
      </c>
      <c r="X28">
        <v>11.6</v>
      </c>
      <c r="Y28">
        <v>12.3</v>
      </c>
      <c r="Z28">
        <v>12.1</v>
      </c>
      <c r="AA28">
        <v>11.1</v>
      </c>
      <c r="AB28">
        <v>11.2</v>
      </c>
    </row>
    <row r="29" spans="1:28" x14ac:dyDescent="0.25">
      <c r="A29">
        <v>28</v>
      </c>
      <c r="B29" t="s">
        <v>15</v>
      </c>
      <c r="C29" t="s">
        <v>16</v>
      </c>
      <c r="D29" s="6">
        <f t="shared" si="0"/>
        <v>11.3</v>
      </c>
      <c r="E29">
        <v>13.9</v>
      </c>
      <c r="F29">
        <v>181.1</v>
      </c>
      <c r="G29" s="3">
        <f t="shared" si="1"/>
        <v>8</v>
      </c>
      <c r="H29" s="3">
        <f t="shared" si="2"/>
        <v>3</v>
      </c>
      <c r="I29" s="3">
        <f t="shared" si="3"/>
        <v>0</v>
      </c>
      <c r="J29" s="3">
        <f t="shared" si="4"/>
        <v>13</v>
      </c>
      <c r="K29">
        <v>9.1</v>
      </c>
      <c r="L29">
        <v>9.9</v>
      </c>
      <c r="M29">
        <v>11</v>
      </c>
      <c r="N29">
        <v>27.9</v>
      </c>
      <c r="O29">
        <v>19.899999999999999</v>
      </c>
      <c r="P29">
        <v>11.3</v>
      </c>
      <c r="Q29">
        <v>5.0999999999999996</v>
      </c>
      <c r="R29">
        <v>16.8</v>
      </c>
      <c r="S29">
        <v>21.8</v>
      </c>
      <c r="T29">
        <v>12.7</v>
      </c>
      <c r="U29">
        <v>6.1</v>
      </c>
      <c r="V29">
        <v>22.5</v>
      </c>
      <c r="W29" t="s">
        <v>8</v>
      </c>
      <c r="X29">
        <v>7</v>
      </c>
      <c r="Y29" t="s">
        <v>8</v>
      </c>
      <c r="Z29" t="s">
        <v>8</v>
      </c>
      <c r="AA29" t="s">
        <v>8</v>
      </c>
      <c r="AB29" t="s">
        <v>8</v>
      </c>
    </row>
    <row r="30" spans="1:28" x14ac:dyDescent="0.25">
      <c r="A30">
        <v>29</v>
      </c>
      <c r="B30" t="s">
        <v>63</v>
      </c>
      <c r="C30" t="s">
        <v>64</v>
      </c>
      <c r="D30" s="6">
        <f t="shared" si="0"/>
        <v>9.85</v>
      </c>
      <c r="E30">
        <v>11.2</v>
      </c>
      <c r="F30">
        <v>179.2</v>
      </c>
      <c r="G30" s="3">
        <f t="shared" si="1"/>
        <v>8</v>
      </c>
      <c r="H30" s="3">
        <f t="shared" si="2"/>
        <v>2</v>
      </c>
      <c r="I30" s="3">
        <f t="shared" si="3"/>
        <v>0</v>
      </c>
      <c r="J30" s="3">
        <f t="shared" si="4"/>
        <v>16</v>
      </c>
      <c r="K30">
        <v>9.6999999999999993</v>
      </c>
      <c r="L30">
        <v>7.8</v>
      </c>
      <c r="M30">
        <v>8.5</v>
      </c>
      <c r="N30">
        <v>3.9</v>
      </c>
      <c r="O30" t="s">
        <v>8</v>
      </c>
      <c r="P30">
        <v>7.2</v>
      </c>
      <c r="Q30">
        <v>12.6</v>
      </c>
      <c r="R30">
        <v>18.8</v>
      </c>
      <c r="S30" t="s">
        <v>8</v>
      </c>
      <c r="T30">
        <v>21</v>
      </c>
      <c r="U30">
        <v>7.3</v>
      </c>
      <c r="V30">
        <v>10.1</v>
      </c>
      <c r="W30">
        <v>10</v>
      </c>
      <c r="X30">
        <v>18.100000000000001</v>
      </c>
      <c r="Y30">
        <v>4</v>
      </c>
      <c r="Z30">
        <v>10.9</v>
      </c>
      <c r="AA30">
        <v>8.8000000000000007</v>
      </c>
      <c r="AB30">
        <v>20.5</v>
      </c>
    </row>
    <row r="31" spans="1:28" x14ac:dyDescent="0.25">
      <c r="A31">
        <v>30</v>
      </c>
      <c r="B31" t="s">
        <v>101</v>
      </c>
      <c r="C31" t="s">
        <v>90</v>
      </c>
      <c r="D31" s="6">
        <f t="shared" si="0"/>
        <v>9.6</v>
      </c>
      <c r="E31">
        <v>10.3</v>
      </c>
      <c r="F31">
        <v>174.5</v>
      </c>
      <c r="G31" s="3">
        <f t="shared" si="1"/>
        <v>7</v>
      </c>
      <c r="H31" s="3">
        <f t="shared" si="2"/>
        <v>2</v>
      </c>
      <c r="I31" s="3">
        <f t="shared" si="3"/>
        <v>0</v>
      </c>
      <c r="J31" s="3">
        <f t="shared" si="4"/>
        <v>17</v>
      </c>
      <c r="K31">
        <v>7.3</v>
      </c>
      <c r="L31">
        <v>1.3</v>
      </c>
      <c r="M31">
        <v>9.6999999999999993</v>
      </c>
      <c r="N31">
        <v>4.2</v>
      </c>
      <c r="O31">
        <v>7.8</v>
      </c>
      <c r="P31">
        <v>11.9</v>
      </c>
      <c r="Q31">
        <v>9.1</v>
      </c>
      <c r="R31">
        <v>3.6</v>
      </c>
      <c r="S31">
        <v>6.2</v>
      </c>
      <c r="T31">
        <v>10.8</v>
      </c>
      <c r="U31" t="s">
        <v>8</v>
      </c>
      <c r="V31">
        <v>7.2</v>
      </c>
      <c r="W31">
        <v>13.2</v>
      </c>
      <c r="X31">
        <v>27</v>
      </c>
      <c r="Y31">
        <v>9.6</v>
      </c>
      <c r="Z31">
        <v>21</v>
      </c>
      <c r="AA31">
        <v>11.5</v>
      </c>
      <c r="AB31">
        <v>13.1</v>
      </c>
    </row>
    <row r="32" spans="1:28" x14ac:dyDescent="0.25">
      <c r="A32">
        <v>31</v>
      </c>
      <c r="B32" t="s">
        <v>89</v>
      </c>
      <c r="C32" t="s">
        <v>90</v>
      </c>
      <c r="D32" s="6">
        <f t="shared" si="0"/>
        <v>9.3000000000000007</v>
      </c>
      <c r="E32">
        <v>12.1</v>
      </c>
      <c r="F32">
        <v>169.6</v>
      </c>
      <c r="G32" s="3">
        <f t="shared" si="1"/>
        <v>6</v>
      </c>
      <c r="H32" s="3">
        <f t="shared" si="2"/>
        <v>3</v>
      </c>
      <c r="I32" s="3">
        <f t="shared" si="3"/>
        <v>1</v>
      </c>
      <c r="J32" s="3">
        <f t="shared" si="4"/>
        <v>14</v>
      </c>
      <c r="K32" t="s">
        <v>8</v>
      </c>
      <c r="L32">
        <v>20.7</v>
      </c>
      <c r="M32">
        <v>22.5</v>
      </c>
      <c r="N32">
        <v>9</v>
      </c>
      <c r="O32">
        <v>33.5</v>
      </c>
      <c r="P32">
        <v>17.899999999999999</v>
      </c>
      <c r="Q32">
        <v>7.2</v>
      </c>
      <c r="R32">
        <v>14.4</v>
      </c>
      <c r="S32">
        <v>2.6</v>
      </c>
      <c r="T32">
        <v>0.2</v>
      </c>
      <c r="U32" t="s">
        <v>8</v>
      </c>
      <c r="V32">
        <v>9</v>
      </c>
      <c r="W32">
        <v>7.7</v>
      </c>
      <c r="X32">
        <v>9.6</v>
      </c>
      <c r="Y32">
        <v>12.3</v>
      </c>
      <c r="Z32" t="s">
        <v>8</v>
      </c>
      <c r="AA32" t="s">
        <v>8</v>
      </c>
      <c r="AB32">
        <v>3</v>
      </c>
    </row>
    <row r="33" spans="1:31" x14ac:dyDescent="0.25">
      <c r="A33">
        <v>32</v>
      </c>
      <c r="B33" t="s">
        <v>85</v>
      </c>
      <c r="C33" t="s">
        <v>55</v>
      </c>
      <c r="D33" s="6">
        <f t="shared" si="0"/>
        <v>8.8000000000000007</v>
      </c>
      <c r="E33">
        <v>9.8000000000000007</v>
      </c>
      <c r="F33">
        <v>167.3</v>
      </c>
      <c r="G33" s="3">
        <f t="shared" si="1"/>
        <v>7</v>
      </c>
      <c r="H33" s="3">
        <f t="shared" si="2"/>
        <v>2</v>
      </c>
      <c r="I33" s="3">
        <f t="shared" si="3"/>
        <v>0</v>
      </c>
      <c r="J33" s="3">
        <f t="shared" si="4"/>
        <v>17</v>
      </c>
      <c r="K33">
        <v>1.5</v>
      </c>
      <c r="L33">
        <v>3.4</v>
      </c>
      <c r="M33">
        <v>6.5</v>
      </c>
      <c r="N33">
        <v>8.8000000000000007</v>
      </c>
      <c r="O33">
        <v>0</v>
      </c>
      <c r="P33">
        <v>7.2</v>
      </c>
      <c r="Q33" t="s">
        <v>8</v>
      </c>
      <c r="R33">
        <v>6.3</v>
      </c>
      <c r="S33">
        <v>4.5999999999999996</v>
      </c>
      <c r="T33">
        <v>23.1</v>
      </c>
      <c r="U33">
        <v>19.8</v>
      </c>
      <c r="V33">
        <v>13.2</v>
      </c>
      <c r="W33">
        <v>5</v>
      </c>
      <c r="X33">
        <v>12.5</v>
      </c>
      <c r="Y33">
        <v>21</v>
      </c>
      <c r="Z33">
        <v>9.3000000000000007</v>
      </c>
      <c r="AA33">
        <v>11.6</v>
      </c>
      <c r="AB33">
        <v>13.5</v>
      </c>
    </row>
    <row r="34" spans="1:31" x14ac:dyDescent="0.25">
      <c r="A34">
        <v>33</v>
      </c>
      <c r="B34" t="s">
        <v>23</v>
      </c>
      <c r="C34" t="s">
        <v>24</v>
      </c>
      <c r="D34" s="6">
        <f t="shared" si="0"/>
        <v>15.95</v>
      </c>
      <c r="E34">
        <v>15.6</v>
      </c>
      <c r="F34">
        <v>156.4</v>
      </c>
      <c r="G34" s="3">
        <f t="shared" si="1"/>
        <v>9</v>
      </c>
      <c r="H34" s="3">
        <f t="shared" si="2"/>
        <v>3</v>
      </c>
      <c r="I34" s="3">
        <f t="shared" si="3"/>
        <v>0</v>
      </c>
      <c r="J34" s="3">
        <f t="shared" si="4"/>
        <v>10</v>
      </c>
      <c r="K34" t="s">
        <v>8</v>
      </c>
      <c r="L34" t="s">
        <v>8</v>
      </c>
      <c r="M34" t="s">
        <v>8</v>
      </c>
      <c r="N34" t="s">
        <v>8</v>
      </c>
      <c r="O34">
        <v>4.4000000000000004</v>
      </c>
      <c r="P34">
        <v>11.5</v>
      </c>
      <c r="Q34">
        <v>21</v>
      </c>
      <c r="R34">
        <v>10.7</v>
      </c>
      <c r="S34">
        <v>17.899999999999999</v>
      </c>
      <c r="T34">
        <v>14.5</v>
      </c>
      <c r="U34" t="s">
        <v>7</v>
      </c>
      <c r="V34">
        <v>21.1</v>
      </c>
      <c r="W34" t="s">
        <v>8</v>
      </c>
      <c r="X34" t="s">
        <v>8</v>
      </c>
      <c r="Y34" t="s">
        <v>8</v>
      </c>
      <c r="Z34">
        <v>10.3</v>
      </c>
      <c r="AA34">
        <v>17.399999999999999</v>
      </c>
      <c r="AB34">
        <v>27.6</v>
      </c>
    </row>
    <row r="35" spans="1:31" x14ac:dyDescent="0.25">
      <c r="A35">
        <v>34</v>
      </c>
      <c r="B35" t="s">
        <v>80</v>
      </c>
      <c r="C35" t="s">
        <v>47</v>
      </c>
      <c r="D35" s="6">
        <f t="shared" si="0"/>
        <v>7.3</v>
      </c>
      <c r="E35">
        <v>9</v>
      </c>
      <c r="F35">
        <v>153.80000000000001</v>
      </c>
      <c r="G35" s="3">
        <f t="shared" si="1"/>
        <v>6</v>
      </c>
      <c r="H35" s="3">
        <f t="shared" si="2"/>
        <v>1</v>
      </c>
      <c r="I35" s="3">
        <f t="shared" si="3"/>
        <v>0</v>
      </c>
      <c r="J35" s="3">
        <f t="shared" si="4"/>
        <v>17</v>
      </c>
      <c r="K35">
        <v>3.8</v>
      </c>
      <c r="L35">
        <v>7.5</v>
      </c>
      <c r="M35">
        <v>4.9000000000000004</v>
      </c>
      <c r="N35">
        <v>8.8000000000000007</v>
      </c>
      <c r="O35">
        <v>16.899999999999999</v>
      </c>
      <c r="P35">
        <v>7.3</v>
      </c>
      <c r="Q35" t="s">
        <v>7</v>
      </c>
      <c r="R35">
        <v>6.6</v>
      </c>
      <c r="S35">
        <v>6.2</v>
      </c>
      <c r="T35">
        <v>10</v>
      </c>
      <c r="U35">
        <v>4.5999999999999996</v>
      </c>
      <c r="V35">
        <v>1.7</v>
      </c>
      <c r="W35">
        <v>12.8</v>
      </c>
      <c r="X35">
        <v>17.8</v>
      </c>
      <c r="Y35">
        <v>4.7</v>
      </c>
      <c r="Z35">
        <v>11.7</v>
      </c>
      <c r="AA35">
        <v>6.9</v>
      </c>
      <c r="AB35">
        <v>21.6</v>
      </c>
    </row>
    <row r="36" spans="1:31" x14ac:dyDescent="0.25">
      <c r="A36">
        <v>35</v>
      </c>
      <c r="B36" t="s">
        <v>56</v>
      </c>
      <c r="C36" t="s">
        <v>57</v>
      </c>
      <c r="D36" s="6">
        <f t="shared" si="0"/>
        <v>13.85</v>
      </c>
      <c r="E36">
        <v>12.1</v>
      </c>
      <c r="F36">
        <v>145.69999999999999</v>
      </c>
      <c r="G36" s="3">
        <f t="shared" si="1"/>
        <v>7</v>
      </c>
      <c r="H36" s="3">
        <f t="shared" si="2"/>
        <v>2</v>
      </c>
      <c r="I36" s="3">
        <f t="shared" si="3"/>
        <v>0</v>
      </c>
      <c r="J36" s="3">
        <f t="shared" si="4"/>
        <v>12</v>
      </c>
      <c r="K36">
        <v>14.9</v>
      </c>
      <c r="L36">
        <v>15</v>
      </c>
      <c r="M36">
        <v>7.2</v>
      </c>
      <c r="N36">
        <v>6</v>
      </c>
      <c r="O36">
        <v>2.4</v>
      </c>
      <c r="P36">
        <v>18</v>
      </c>
      <c r="Q36">
        <v>14.5</v>
      </c>
      <c r="R36">
        <v>7</v>
      </c>
      <c r="S36">
        <v>22.9</v>
      </c>
      <c r="T36">
        <v>13.2</v>
      </c>
      <c r="U36" t="s">
        <v>7</v>
      </c>
      <c r="V36">
        <v>21.7</v>
      </c>
      <c r="W36">
        <v>2.9</v>
      </c>
      <c r="X36" t="s">
        <v>8</v>
      </c>
      <c r="Y36" t="s">
        <v>8</v>
      </c>
      <c r="Z36" t="s">
        <v>8</v>
      </c>
      <c r="AA36" t="s">
        <v>8</v>
      </c>
      <c r="AB36" t="s">
        <v>8</v>
      </c>
      <c r="AE36" s="3">
        <f>MEDIAN(K1:AB39)</f>
        <v>12.05</v>
      </c>
    </row>
    <row r="37" spans="1:31" x14ac:dyDescent="0.25">
      <c r="A37">
        <v>36</v>
      </c>
      <c r="B37" t="s">
        <v>79</v>
      </c>
      <c r="C37" t="s">
        <v>14</v>
      </c>
      <c r="D37" s="6">
        <f t="shared" si="0"/>
        <v>6</v>
      </c>
      <c r="E37">
        <v>8.1</v>
      </c>
      <c r="F37">
        <v>137.6</v>
      </c>
      <c r="G37" s="3">
        <f t="shared" si="1"/>
        <v>5</v>
      </c>
      <c r="H37" s="3">
        <f t="shared" si="2"/>
        <v>1</v>
      </c>
      <c r="I37" s="3">
        <f t="shared" si="3"/>
        <v>0</v>
      </c>
      <c r="J37" s="3">
        <f t="shared" si="4"/>
        <v>17</v>
      </c>
      <c r="K37">
        <v>24.4</v>
      </c>
      <c r="L37">
        <v>4.8</v>
      </c>
      <c r="M37">
        <v>4.9000000000000004</v>
      </c>
      <c r="N37">
        <v>2.2000000000000002</v>
      </c>
      <c r="O37">
        <v>6</v>
      </c>
      <c r="P37">
        <v>5.0999999999999996</v>
      </c>
      <c r="Q37">
        <v>14.2</v>
      </c>
      <c r="R37">
        <v>3.1</v>
      </c>
      <c r="S37">
        <v>11</v>
      </c>
      <c r="T37">
        <v>4.8</v>
      </c>
      <c r="U37" t="s">
        <v>7</v>
      </c>
      <c r="V37">
        <v>6.4</v>
      </c>
      <c r="W37">
        <v>2.6</v>
      </c>
      <c r="X37">
        <v>4</v>
      </c>
      <c r="Y37">
        <v>6.1</v>
      </c>
      <c r="Z37">
        <v>15.8</v>
      </c>
      <c r="AA37">
        <v>15.8</v>
      </c>
      <c r="AB37">
        <v>6.4</v>
      </c>
    </row>
    <row r="38" spans="1:31" x14ac:dyDescent="0.25">
      <c r="A38">
        <v>37</v>
      </c>
      <c r="B38" t="s">
        <v>37</v>
      </c>
      <c r="C38" t="s">
        <v>38</v>
      </c>
      <c r="D38" s="6">
        <f t="shared" si="0"/>
        <v>10.9</v>
      </c>
      <c r="E38">
        <v>12.3</v>
      </c>
      <c r="F38">
        <v>134.9</v>
      </c>
      <c r="G38" s="3">
        <f t="shared" si="1"/>
        <v>6</v>
      </c>
      <c r="H38" s="3">
        <f t="shared" si="2"/>
        <v>1</v>
      </c>
      <c r="I38" s="3">
        <f t="shared" si="3"/>
        <v>0</v>
      </c>
      <c r="J38" s="3">
        <f t="shared" si="4"/>
        <v>11</v>
      </c>
      <c r="K38">
        <v>26.7</v>
      </c>
      <c r="L38" t="s">
        <v>8</v>
      </c>
      <c r="M38" t="s">
        <v>8</v>
      </c>
      <c r="N38">
        <v>2.4</v>
      </c>
      <c r="O38" t="s">
        <v>8</v>
      </c>
      <c r="P38" t="s">
        <v>8</v>
      </c>
      <c r="Q38">
        <v>8.6999999999999993</v>
      </c>
      <c r="R38">
        <v>8.6</v>
      </c>
      <c r="S38">
        <v>17.899999999999999</v>
      </c>
      <c r="T38">
        <v>9.4</v>
      </c>
      <c r="U38">
        <v>2.7</v>
      </c>
      <c r="V38" t="s">
        <v>8</v>
      </c>
      <c r="W38" t="s">
        <v>7</v>
      </c>
      <c r="X38" t="s">
        <v>8</v>
      </c>
      <c r="Y38">
        <v>10.9</v>
      </c>
      <c r="Z38">
        <v>14.5</v>
      </c>
      <c r="AA38">
        <v>14</v>
      </c>
      <c r="AB38">
        <v>19.100000000000001</v>
      </c>
    </row>
    <row r="39" spans="1:31" x14ac:dyDescent="0.25">
      <c r="A39">
        <v>38</v>
      </c>
      <c r="B39" t="s">
        <v>67</v>
      </c>
      <c r="C39" t="s">
        <v>18</v>
      </c>
      <c r="D39" s="6">
        <f t="shared" si="0"/>
        <v>6.8</v>
      </c>
      <c r="E39">
        <v>8.3000000000000007</v>
      </c>
      <c r="F39">
        <v>133.19999999999999</v>
      </c>
      <c r="G39" s="3">
        <f t="shared" si="1"/>
        <v>6</v>
      </c>
      <c r="H39" s="3">
        <f t="shared" si="2"/>
        <v>0</v>
      </c>
      <c r="I39" s="3">
        <f t="shared" si="3"/>
        <v>0</v>
      </c>
      <c r="J39" s="3">
        <f t="shared" si="4"/>
        <v>16</v>
      </c>
      <c r="K39">
        <v>13.4</v>
      </c>
      <c r="L39">
        <v>4.9000000000000004</v>
      </c>
      <c r="M39">
        <v>17.5</v>
      </c>
      <c r="N39">
        <v>10.8</v>
      </c>
      <c r="O39">
        <v>12.6</v>
      </c>
      <c r="P39">
        <v>11.2</v>
      </c>
      <c r="Q39">
        <v>6.2</v>
      </c>
      <c r="R39">
        <v>4.3</v>
      </c>
      <c r="S39">
        <v>17.3</v>
      </c>
      <c r="T39">
        <v>4.3</v>
      </c>
      <c r="U39">
        <v>7</v>
      </c>
      <c r="V39">
        <v>8.3000000000000007</v>
      </c>
      <c r="W39" t="s">
        <v>8</v>
      </c>
      <c r="X39">
        <v>6.6</v>
      </c>
      <c r="Y39" t="s">
        <v>8</v>
      </c>
      <c r="Z39">
        <v>-0.1</v>
      </c>
      <c r="AA39">
        <v>5</v>
      </c>
      <c r="AB39">
        <v>3.9</v>
      </c>
    </row>
    <row r="40" spans="1:31" x14ac:dyDescent="0.25">
      <c r="A40">
        <v>39</v>
      </c>
      <c r="B40" t="s">
        <v>81</v>
      </c>
      <c r="C40" t="s">
        <v>57</v>
      </c>
      <c r="D40" s="6">
        <f t="shared" si="0"/>
        <v>8.4</v>
      </c>
      <c r="E40">
        <v>8</v>
      </c>
      <c r="F40">
        <v>127.4</v>
      </c>
      <c r="G40" s="3">
        <f t="shared" si="1"/>
        <v>5</v>
      </c>
      <c r="H40" s="3">
        <f t="shared" si="2"/>
        <v>0</v>
      </c>
      <c r="I40" s="3">
        <f t="shared" si="3"/>
        <v>0</v>
      </c>
      <c r="J40" s="3">
        <f t="shared" si="4"/>
        <v>16</v>
      </c>
      <c r="K40">
        <v>0.9</v>
      </c>
      <c r="L40">
        <v>8.3000000000000007</v>
      </c>
      <c r="M40">
        <v>3.4</v>
      </c>
      <c r="N40">
        <v>3.6</v>
      </c>
      <c r="O40">
        <v>10.4</v>
      </c>
      <c r="P40">
        <v>8.6</v>
      </c>
      <c r="Q40">
        <v>5.0999999999999996</v>
      </c>
      <c r="R40">
        <v>9.1999999999999993</v>
      </c>
      <c r="S40">
        <v>12.6</v>
      </c>
      <c r="T40">
        <v>16.5</v>
      </c>
      <c r="U40" t="s">
        <v>7</v>
      </c>
      <c r="V40">
        <v>6.7</v>
      </c>
      <c r="W40">
        <v>11.2</v>
      </c>
      <c r="X40" t="s">
        <v>8</v>
      </c>
      <c r="Y40">
        <v>8.5</v>
      </c>
      <c r="Z40">
        <v>10.199999999999999</v>
      </c>
      <c r="AA40">
        <v>5.6</v>
      </c>
      <c r="AB40">
        <v>6.6</v>
      </c>
    </row>
    <row r="41" spans="1:31" x14ac:dyDescent="0.25">
      <c r="A41">
        <v>40</v>
      </c>
      <c r="B41" t="s">
        <v>92</v>
      </c>
      <c r="C41" t="s">
        <v>30</v>
      </c>
      <c r="D41" s="6">
        <f t="shared" si="0"/>
        <v>6</v>
      </c>
      <c r="E41">
        <v>7.1</v>
      </c>
      <c r="F41">
        <v>121.3</v>
      </c>
      <c r="G41" s="3">
        <f t="shared" si="1"/>
        <v>4</v>
      </c>
      <c r="H41" s="3">
        <f t="shared" si="2"/>
        <v>0</v>
      </c>
      <c r="I41" s="3">
        <f t="shared" si="3"/>
        <v>0</v>
      </c>
      <c r="J41" s="3">
        <f t="shared" si="4"/>
        <v>17</v>
      </c>
      <c r="K41">
        <v>11.8</v>
      </c>
      <c r="L41">
        <v>5.4</v>
      </c>
      <c r="M41">
        <v>4.4000000000000004</v>
      </c>
      <c r="N41">
        <v>5.5</v>
      </c>
      <c r="O41">
        <v>11.5</v>
      </c>
      <c r="P41">
        <v>1.6</v>
      </c>
      <c r="Q41">
        <v>7.1</v>
      </c>
      <c r="R41">
        <v>4.0999999999999996</v>
      </c>
      <c r="S41" t="s">
        <v>8</v>
      </c>
      <c r="T41">
        <v>7.3</v>
      </c>
      <c r="U41">
        <v>13.7</v>
      </c>
      <c r="V41">
        <v>13.6</v>
      </c>
      <c r="W41">
        <v>2.6</v>
      </c>
      <c r="X41">
        <v>9.4</v>
      </c>
      <c r="Y41">
        <v>5.8</v>
      </c>
      <c r="Z41">
        <v>6.9</v>
      </c>
      <c r="AA41">
        <v>4.5999999999999996</v>
      </c>
      <c r="AB41">
        <v>6</v>
      </c>
    </row>
    <row r="42" spans="1:31" x14ac:dyDescent="0.25">
      <c r="A42">
        <v>41</v>
      </c>
      <c r="B42" t="s">
        <v>61</v>
      </c>
      <c r="C42" t="s">
        <v>62</v>
      </c>
      <c r="D42" s="6">
        <f t="shared" si="0"/>
        <v>9.1</v>
      </c>
      <c r="E42">
        <v>7.9</v>
      </c>
      <c r="F42">
        <v>118.5</v>
      </c>
      <c r="G42" s="3">
        <f t="shared" si="1"/>
        <v>4</v>
      </c>
      <c r="H42" s="3">
        <f t="shared" si="2"/>
        <v>0</v>
      </c>
      <c r="I42" s="3">
        <f t="shared" si="3"/>
        <v>0</v>
      </c>
      <c r="J42" s="3">
        <f t="shared" si="4"/>
        <v>15</v>
      </c>
      <c r="K42" t="s">
        <v>8</v>
      </c>
      <c r="L42" t="s">
        <v>8</v>
      </c>
      <c r="M42">
        <v>5.5</v>
      </c>
      <c r="N42">
        <v>1.2</v>
      </c>
      <c r="O42" t="s">
        <v>8</v>
      </c>
      <c r="P42">
        <v>16.100000000000001</v>
      </c>
      <c r="Q42">
        <v>15.1</v>
      </c>
      <c r="R42">
        <v>13.7</v>
      </c>
      <c r="S42">
        <v>9.8000000000000007</v>
      </c>
      <c r="T42">
        <v>9.1999999999999993</v>
      </c>
      <c r="U42">
        <v>6.7</v>
      </c>
      <c r="V42">
        <v>2.2000000000000002</v>
      </c>
      <c r="W42">
        <v>5.8</v>
      </c>
      <c r="X42">
        <v>10</v>
      </c>
      <c r="Y42">
        <v>3</v>
      </c>
      <c r="Z42">
        <v>9.6</v>
      </c>
      <c r="AA42">
        <v>9.1</v>
      </c>
      <c r="AB42">
        <v>1.5</v>
      </c>
    </row>
    <row r="43" spans="1:31" x14ac:dyDescent="0.25">
      <c r="A43">
        <v>42</v>
      </c>
      <c r="B43" t="s">
        <v>463</v>
      </c>
      <c r="C43" t="s">
        <v>6</v>
      </c>
      <c r="D43" s="6">
        <f t="shared" si="0"/>
        <v>9.1</v>
      </c>
      <c r="E43">
        <v>7.8</v>
      </c>
      <c r="F43">
        <v>117.6</v>
      </c>
      <c r="G43" s="3">
        <f t="shared" si="1"/>
        <v>5</v>
      </c>
      <c r="H43" s="3">
        <f t="shared" si="2"/>
        <v>0</v>
      </c>
      <c r="I43" s="3">
        <f t="shared" si="3"/>
        <v>0</v>
      </c>
      <c r="J43" s="3">
        <f t="shared" si="4"/>
        <v>15</v>
      </c>
      <c r="K43">
        <v>5.6</v>
      </c>
      <c r="L43">
        <v>7.3</v>
      </c>
      <c r="M43">
        <v>3.3</v>
      </c>
      <c r="N43">
        <v>1.1000000000000001</v>
      </c>
      <c r="O43">
        <v>13.6</v>
      </c>
      <c r="P43" t="s">
        <v>8</v>
      </c>
      <c r="Q43">
        <v>11.5</v>
      </c>
      <c r="R43">
        <v>10.199999999999999</v>
      </c>
      <c r="S43">
        <v>5.3</v>
      </c>
      <c r="T43">
        <v>9.1</v>
      </c>
      <c r="U43">
        <v>10.1</v>
      </c>
      <c r="V43">
        <v>11.1</v>
      </c>
      <c r="W43">
        <v>9.6999999999999993</v>
      </c>
      <c r="X43">
        <v>9.8000000000000007</v>
      </c>
      <c r="Y43" t="s">
        <v>8</v>
      </c>
      <c r="Z43">
        <v>7.2</v>
      </c>
      <c r="AA43">
        <v>2.7</v>
      </c>
      <c r="AB43" t="s">
        <v>8</v>
      </c>
    </row>
    <row r="44" spans="1:31" x14ac:dyDescent="0.25">
      <c r="A44">
        <v>43</v>
      </c>
      <c r="B44" t="s">
        <v>464</v>
      </c>
      <c r="C44" t="s">
        <v>24</v>
      </c>
      <c r="D44" s="6">
        <f t="shared" si="0"/>
        <v>6.4499999999999993</v>
      </c>
      <c r="E44">
        <v>9.4</v>
      </c>
      <c r="F44">
        <v>112.5</v>
      </c>
      <c r="G44" s="3">
        <f t="shared" si="1"/>
        <v>4</v>
      </c>
      <c r="H44" s="3">
        <f t="shared" si="2"/>
        <v>2</v>
      </c>
      <c r="I44" s="3">
        <f t="shared" si="3"/>
        <v>0</v>
      </c>
      <c r="J44" s="3">
        <f t="shared" si="4"/>
        <v>12</v>
      </c>
      <c r="K44">
        <v>11.4</v>
      </c>
      <c r="L44">
        <v>6.8</v>
      </c>
      <c r="M44">
        <v>3.5</v>
      </c>
      <c r="N44">
        <v>22.2</v>
      </c>
      <c r="O44">
        <v>7.6</v>
      </c>
      <c r="P44" t="s">
        <v>8</v>
      </c>
      <c r="Q44" t="s">
        <v>8</v>
      </c>
      <c r="R44" t="s">
        <v>8</v>
      </c>
      <c r="S44" t="s">
        <v>8</v>
      </c>
      <c r="T44" t="s">
        <v>8</v>
      </c>
      <c r="U44">
        <v>6.1</v>
      </c>
      <c r="V44">
        <v>5.8</v>
      </c>
      <c r="W44" t="s">
        <v>8</v>
      </c>
      <c r="X44">
        <v>0.8</v>
      </c>
      <c r="Y44">
        <v>2.2000000000000002</v>
      </c>
      <c r="Z44">
        <v>19.100000000000001</v>
      </c>
      <c r="AA44">
        <v>20.9</v>
      </c>
      <c r="AB44">
        <v>6.1</v>
      </c>
    </row>
    <row r="45" spans="1:31" x14ac:dyDescent="0.25">
      <c r="A45">
        <v>44</v>
      </c>
      <c r="B45" t="s">
        <v>74</v>
      </c>
      <c r="C45" t="s">
        <v>12</v>
      </c>
      <c r="D45" s="6">
        <f t="shared" si="0"/>
        <v>5.6999999999999993</v>
      </c>
      <c r="E45">
        <v>6.8</v>
      </c>
      <c r="F45">
        <v>109.3</v>
      </c>
      <c r="G45" s="3">
        <f t="shared" si="1"/>
        <v>3</v>
      </c>
      <c r="H45" s="3">
        <f t="shared" si="2"/>
        <v>1</v>
      </c>
      <c r="I45" s="3">
        <f t="shared" si="3"/>
        <v>0</v>
      </c>
      <c r="J45" s="3">
        <f t="shared" si="4"/>
        <v>16</v>
      </c>
      <c r="K45">
        <v>12.9</v>
      </c>
      <c r="L45">
        <v>8.3000000000000007</v>
      </c>
      <c r="M45" t="s">
        <v>8</v>
      </c>
      <c r="N45">
        <v>3.3</v>
      </c>
      <c r="O45">
        <v>12.5</v>
      </c>
      <c r="P45">
        <v>6.5</v>
      </c>
      <c r="Q45">
        <v>5.8</v>
      </c>
      <c r="R45">
        <v>9.5</v>
      </c>
      <c r="S45">
        <v>4</v>
      </c>
      <c r="T45">
        <v>0.7</v>
      </c>
      <c r="U45">
        <v>1.7</v>
      </c>
      <c r="V45">
        <v>3.1</v>
      </c>
      <c r="W45" t="s">
        <v>7</v>
      </c>
      <c r="X45">
        <v>2.2000000000000002</v>
      </c>
      <c r="Y45">
        <v>2.2999999999999998</v>
      </c>
      <c r="Z45">
        <v>8.6999999999999993</v>
      </c>
      <c r="AA45">
        <v>22.2</v>
      </c>
      <c r="AB45">
        <v>5.6</v>
      </c>
    </row>
    <row r="46" spans="1:31" x14ac:dyDescent="0.25">
      <c r="A46">
        <v>45</v>
      </c>
      <c r="B46" t="s">
        <v>52</v>
      </c>
      <c r="C46" t="s">
        <v>53</v>
      </c>
      <c r="D46" s="6">
        <f t="shared" si="0"/>
        <v>5.65</v>
      </c>
      <c r="E46">
        <v>6.6</v>
      </c>
      <c r="F46">
        <v>106.1</v>
      </c>
      <c r="G46" s="3">
        <f t="shared" si="1"/>
        <v>3</v>
      </c>
      <c r="H46" s="3">
        <f t="shared" si="2"/>
        <v>0</v>
      </c>
      <c r="I46" s="3">
        <f t="shared" si="3"/>
        <v>0</v>
      </c>
      <c r="J46" s="3">
        <f t="shared" si="4"/>
        <v>16</v>
      </c>
      <c r="K46">
        <v>1.1000000000000001</v>
      </c>
      <c r="L46">
        <v>5</v>
      </c>
      <c r="M46">
        <v>5.5</v>
      </c>
      <c r="N46">
        <v>5</v>
      </c>
      <c r="O46" t="s">
        <v>7</v>
      </c>
      <c r="P46">
        <v>3.9</v>
      </c>
      <c r="Q46" t="s">
        <v>8</v>
      </c>
      <c r="R46">
        <v>8.4</v>
      </c>
      <c r="S46">
        <v>2.2999999999999998</v>
      </c>
      <c r="T46">
        <v>10.199999999999999</v>
      </c>
      <c r="U46">
        <v>12.9</v>
      </c>
      <c r="V46">
        <v>9.8000000000000007</v>
      </c>
      <c r="W46">
        <v>16.899999999999999</v>
      </c>
      <c r="X46">
        <v>5.8</v>
      </c>
      <c r="Y46">
        <v>1.6</v>
      </c>
      <c r="Z46">
        <v>0.6</v>
      </c>
      <c r="AA46">
        <v>9.1</v>
      </c>
      <c r="AB46">
        <v>8</v>
      </c>
    </row>
    <row r="47" spans="1:31" x14ac:dyDescent="0.25">
      <c r="A47">
        <v>46</v>
      </c>
      <c r="B47" t="s">
        <v>86</v>
      </c>
      <c r="C47" t="s">
        <v>50</v>
      </c>
      <c r="D47" s="6">
        <f t="shared" si="0"/>
        <v>5.6</v>
      </c>
      <c r="E47">
        <v>6.2</v>
      </c>
      <c r="F47">
        <v>106</v>
      </c>
      <c r="G47" s="3">
        <f t="shared" si="1"/>
        <v>3</v>
      </c>
      <c r="H47" s="3">
        <f t="shared" si="2"/>
        <v>0</v>
      </c>
      <c r="I47" s="3">
        <f t="shared" si="3"/>
        <v>0</v>
      </c>
      <c r="J47" s="3">
        <f t="shared" si="4"/>
        <v>17</v>
      </c>
      <c r="K47">
        <v>0.3</v>
      </c>
      <c r="L47">
        <v>6.5</v>
      </c>
      <c r="M47">
        <v>1.5</v>
      </c>
      <c r="N47">
        <v>19.399999999999999</v>
      </c>
      <c r="O47">
        <v>17.899999999999999</v>
      </c>
      <c r="P47">
        <v>6.2</v>
      </c>
      <c r="Q47">
        <v>5.6</v>
      </c>
      <c r="R47">
        <v>5.9</v>
      </c>
      <c r="S47" t="s">
        <v>7</v>
      </c>
      <c r="T47">
        <v>3.2</v>
      </c>
      <c r="U47">
        <v>6.5</v>
      </c>
      <c r="V47">
        <v>0.4</v>
      </c>
      <c r="W47">
        <v>4.0999999999999996</v>
      </c>
      <c r="X47">
        <v>4.2</v>
      </c>
      <c r="Y47">
        <v>3.8</v>
      </c>
      <c r="Z47">
        <v>10.7</v>
      </c>
      <c r="AA47">
        <v>9.1999999999999993</v>
      </c>
      <c r="AB47">
        <v>0.6</v>
      </c>
    </row>
    <row r="48" spans="1:31" x14ac:dyDescent="0.25">
      <c r="A48">
        <v>47</v>
      </c>
      <c r="B48" t="s">
        <v>91</v>
      </c>
      <c r="C48" t="s">
        <v>43</v>
      </c>
      <c r="D48" s="6">
        <f t="shared" si="0"/>
        <v>6.2</v>
      </c>
      <c r="E48">
        <v>6.8</v>
      </c>
      <c r="F48">
        <v>102.1</v>
      </c>
      <c r="G48" s="3">
        <f t="shared" si="1"/>
        <v>4</v>
      </c>
      <c r="H48" s="3">
        <f t="shared" si="2"/>
        <v>0</v>
      </c>
      <c r="I48" s="3">
        <f t="shared" si="3"/>
        <v>0</v>
      </c>
      <c r="J48" s="3">
        <f t="shared" si="4"/>
        <v>15</v>
      </c>
      <c r="K48">
        <v>17.5</v>
      </c>
      <c r="L48">
        <v>6.2</v>
      </c>
      <c r="M48">
        <v>6.9</v>
      </c>
      <c r="N48">
        <v>2.5</v>
      </c>
      <c r="O48">
        <v>1.9</v>
      </c>
      <c r="P48" t="s">
        <v>8</v>
      </c>
      <c r="Q48" t="s">
        <v>8</v>
      </c>
      <c r="R48">
        <v>6.1</v>
      </c>
      <c r="S48">
        <v>2.5</v>
      </c>
      <c r="T48">
        <v>7.2</v>
      </c>
      <c r="U48">
        <v>3</v>
      </c>
      <c r="V48">
        <v>12.5</v>
      </c>
      <c r="W48" t="s">
        <v>7</v>
      </c>
      <c r="X48">
        <v>0.6</v>
      </c>
      <c r="Y48">
        <v>10</v>
      </c>
      <c r="Z48">
        <v>8.3000000000000007</v>
      </c>
      <c r="AA48">
        <v>14.9</v>
      </c>
      <c r="AB48">
        <v>2</v>
      </c>
    </row>
    <row r="49" spans="1:28" x14ac:dyDescent="0.25">
      <c r="A49">
        <v>48</v>
      </c>
      <c r="B49" t="s">
        <v>465</v>
      </c>
      <c r="C49" t="s">
        <v>38</v>
      </c>
      <c r="D49" s="6">
        <f t="shared" si="0"/>
        <v>3.5</v>
      </c>
      <c r="E49">
        <v>6.3</v>
      </c>
      <c r="F49">
        <v>101</v>
      </c>
      <c r="G49" s="3">
        <f t="shared" si="1"/>
        <v>4</v>
      </c>
      <c r="H49" s="3">
        <f t="shared" si="2"/>
        <v>1</v>
      </c>
      <c r="I49" s="3">
        <f t="shared" si="3"/>
        <v>0</v>
      </c>
      <c r="J49" s="3">
        <f t="shared" si="4"/>
        <v>16</v>
      </c>
      <c r="K49">
        <v>2.8</v>
      </c>
      <c r="L49">
        <v>2.9</v>
      </c>
      <c r="M49">
        <v>4.0999999999999996</v>
      </c>
      <c r="N49">
        <v>0</v>
      </c>
      <c r="O49">
        <v>1.5</v>
      </c>
      <c r="P49">
        <v>0</v>
      </c>
      <c r="Q49">
        <v>2.2000000000000002</v>
      </c>
      <c r="R49">
        <v>0</v>
      </c>
      <c r="S49" t="s">
        <v>8</v>
      </c>
      <c r="T49">
        <v>10.5</v>
      </c>
      <c r="U49">
        <v>15</v>
      </c>
      <c r="V49">
        <v>2.1</v>
      </c>
      <c r="W49" t="s">
        <v>7</v>
      </c>
      <c r="X49">
        <v>7.2</v>
      </c>
      <c r="Y49">
        <v>24.7</v>
      </c>
      <c r="Z49">
        <v>7.7</v>
      </c>
      <c r="AA49">
        <v>9.4</v>
      </c>
      <c r="AB49">
        <v>10.9</v>
      </c>
    </row>
    <row r="50" spans="1:28" x14ac:dyDescent="0.25">
      <c r="A50">
        <v>49</v>
      </c>
      <c r="B50" t="s">
        <v>100</v>
      </c>
      <c r="C50" t="s">
        <v>78</v>
      </c>
      <c r="D50" s="6">
        <f t="shared" si="0"/>
        <v>5.9499999999999993</v>
      </c>
      <c r="E50">
        <v>6.1</v>
      </c>
      <c r="F50">
        <v>97.4</v>
      </c>
      <c r="G50" s="3">
        <f t="shared" si="1"/>
        <v>2</v>
      </c>
      <c r="H50" s="3">
        <f t="shared" si="2"/>
        <v>0</v>
      </c>
      <c r="I50" s="3">
        <f t="shared" si="3"/>
        <v>0</v>
      </c>
      <c r="J50" s="3">
        <f t="shared" si="4"/>
        <v>16</v>
      </c>
      <c r="K50">
        <v>11.4</v>
      </c>
      <c r="L50" t="s">
        <v>8</v>
      </c>
      <c r="M50">
        <v>5.8</v>
      </c>
      <c r="N50">
        <v>6.1</v>
      </c>
      <c r="O50">
        <v>3.4</v>
      </c>
      <c r="P50">
        <v>2.7</v>
      </c>
      <c r="Q50">
        <v>7.6</v>
      </c>
      <c r="R50">
        <v>5.6</v>
      </c>
      <c r="S50">
        <v>9.3000000000000007</v>
      </c>
      <c r="T50" t="s">
        <v>8</v>
      </c>
      <c r="U50">
        <v>1.5</v>
      </c>
      <c r="V50">
        <v>5.6</v>
      </c>
      <c r="W50">
        <v>9.6999999999999993</v>
      </c>
      <c r="X50">
        <v>2.8</v>
      </c>
      <c r="Y50">
        <v>2.1</v>
      </c>
      <c r="Z50">
        <v>10.9</v>
      </c>
      <c r="AA50">
        <v>6.7</v>
      </c>
      <c r="AB50">
        <v>6.2</v>
      </c>
    </row>
    <row r="51" spans="1:28" x14ac:dyDescent="0.25">
      <c r="A51">
        <v>50</v>
      </c>
      <c r="B51" t="s">
        <v>48</v>
      </c>
      <c r="C51" t="s">
        <v>36</v>
      </c>
      <c r="D51" s="6">
        <f t="shared" si="0"/>
        <v>3.6</v>
      </c>
      <c r="E51">
        <v>5.7</v>
      </c>
      <c r="F51">
        <v>91.5</v>
      </c>
      <c r="G51" s="3">
        <f t="shared" si="1"/>
        <v>4</v>
      </c>
      <c r="H51" s="3">
        <f t="shared" si="2"/>
        <v>0</v>
      </c>
      <c r="I51" s="3">
        <f t="shared" si="3"/>
        <v>0</v>
      </c>
      <c r="J51" s="3">
        <f t="shared" si="4"/>
        <v>16</v>
      </c>
      <c r="K51">
        <v>2.4</v>
      </c>
      <c r="L51">
        <v>5.3</v>
      </c>
      <c r="M51">
        <v>13.6</v>
      </c>
      <c r="N51">
        <v>2.7</v>
      </c>
      <c r="O51">
        <v>1.5</v>
      </c>
      <c r="P51">
        <v>1.2</v>
      </c>
      <c r="Q51" t="s">
        <v>7</v>
      </c>
      <c r="R51">
        <v>4.5</v>
      </c>
      <c r="S51">
        <v>0.8</v>
      </c>
      <c r="T51">
        <v>13.9</v>
      </c>
      <c r="U51">
        <v>4</v>
      </c>
      <c r="V51">
        <v>9.6</v>
      </c>
      <c r="W51">
        <v>3.2</v>
      </c>
      <c r="X51">
        <v>12.2</v>
      </c>
      <c r="Y51">
        <v>3.2</v>
      </c>
      <c r="Z51">
        <v>0.4</v>
      </c>
      <c r="AA51" t="s">
        <v>8</v>
      </c>
      <c r="AB51">
        <v>13</v>
      </c>
    </row>
    <row r="52" spans="1:28" x14ac:dyDescent="0.25">
      <c r="A52">
        <v>51</v>
      </c>
      <c r="B52" t="s">
        <v>466</v>
      </c>
      <c r="C52" t="s">
        <v>90</v>
      </c>
      <c r="D52" s="6">
        <f t="shared" si="0"/>
        <v>7.7</v>
      </c>
      <c r="E52">
        <v>10.1</v>
      </c>
      <c r="F52">
        <v>91.2</v>
      </c>
      <c r="G52" s="3">
        <f t="shared" si="1"/>
        <v>2</v>
      </c>
      <c r="H52" s="3">
        <f t="shared" si="2"/>
        <v>1</v>
      </c>
      <c r="I52" s="3">
        <f t="shared" si="3"/>
        <v>1</v>
      </c>
      <c r="J52" s="3">
        <f t="shared" si="4"/>
        <v>9</v>
      </c>
      <c r="K52">
        <v>4.4000000000000004</v>
      </c>
      <c r="L52" t="s">
        <v>8</v>
      </c>
      <c r="M52" t="s">
        <v>8</v>
      </c>
      <c r="N52" t="s">
        <v>8</v>
      </c>
      <c r="O52" t="s">
        <v>8</v>
      </c>
      <c r="P52">
        <v>7.7</v>
      </c>
      <c r="Q52">
        <v>33</v>
      </c>
      <c r="R52">
        <v>4.5999999999999996</v>
      </c>
      <c r="S52">
        <v>8.3000000000000007</v>
      </c>
      <c r="T52">
        <v>17.2</v>
      </c>
      <c r="U52">
        <v>7.4</v>
      </c>
      <c r="V52" t="s">
        <v>8</v>
      </c>
      <c r="W52" t="s">
        <v>8</v>
      </c>
      <c r="X52">
        <v>9.1999999999999993</v>
      </c>
      <c r="Y52">
        <v>-0.6</v>
      </c>
      <c r="Z52" t="s">
        <v>8</v>
      </c>
      <c r="AA52" t="s">
        <v>8</v>
      </c>
      <c r="AB52" t="s">
        <v>8</v>
      </c>
    </row>
    <row r="53" spans="1:28" x14ac:dyDescent="0.25">
      <c r="A53">
        <v>52</v>
      </c>
      <c r="B53" t="s">
        <v>93</v>
      </c>
      <c r="C53" t="s">
        <v>64</v>
      </c>
      <c r="D53" s="6">
        <f t="shared" si="0"/>
        <v>4.05</v>
      </c>
      <c r="E53">
        <v>5.5</v>
      </c>
      <c r="F53">
        <v>87.6</v>
      </c>
      <c r="G53" s="3">
        <f t="shared" si="1"/>
        <v>2</v>
      </c>
      <c r="H53" s="3">
        <f t="shared" si="2"/>
        <v>0</v>
      </c>
      <c r="I53" s="3">
        <f t="shared" si="3"/>
        <v>0</v>
      </c>
      <c r="J53" s="3">
        <f t="shared" si="4"/>
        <v>16</v>
      </c>
      <c r="K53">
        <v>11.8</v>
      </c>
      <c r="L53">
        <v>7.7</v>
      </c>
      <c r="M53">
        <v>17.2</v>
      </c>
      <c r="N53">
        <v>6.2</v>
      </c>
      <c r="O53">
        <v>1.2</v>
      </c>
      <c r="P53" t="s">
        <v>8</v>
      </c>
      <c r="Q53" t="s">
        <v>7</v>
      </c>
      <c r="R53">
        <v>0</v>
      </c>
      <c r="S53">
        <v>9.1</v>
      </c>
      <c r="T53">
        <v>3</v>
      </c>
      <c r="U53">
        <v>6.2</v>
      </c>
      <c r="V53">
        <v>2.8</v>
      </c>
      <c r="W53">
        <v>3.9</v>
      </c>
      <c r="X53">
        <v>7.4</v>
      </c>
      <c r="Y53">
        <v>3.3</v>
      </c>
      <c r="Z53">
        <v>1.8</v>
      </c>
      <c r="AA53">
        <v>4.2</v>
      </c>
      <c r="AB53">
        <v>1.8</v>
      </c>
    </row>
    <row r="54" spans="1:28" x14ac:dyDescent="0.25">
      <c r="A54">
        <v>53</v>
      </c>
      <c r="B54" t="s">
        <v>468</v>
      </c>
      <c r="C54" t="s">
        <v>90</v>
      </c>
      <c r="D54" s="6">
        <f t="shared" si="0"/>
        <v>4.8</v>
      </c>
      <c r="E54">
        <v>7</v>
      </c>
      <c r="F54">
        <v>84.4</v>
      </c>
      <c r="G54" s="3">
        <f t="shared" si="1"/>
        <v>4</v>
      </c>
      <c r="H54" s="3">
        <f t="shared" si="2"/>
        <v>0</v>
      </c>
      <c r="I54" s="3">
        <f t="shared" si="3"/>
        <v>0</v>
      </c>
      <c r="J54" s="3">
        <f t="shared" si="4"/>
        <v>12</v>
      </c>
      <c r="K54">
        <v>2</v>
      </c>
      <c r="L54">
        <v>5.2</v>
      </c>
      <c r="M54">
        <v>17.8</v>
      </c>
      <c r="N54">
        <v>0.7</v>
      </c>
      <c r="O54">
        <v>4.5</v>
      </c>
      <c r="P54">
        <v>5</v>
      </c>
      <c r="Q54">
        <v>4.5999999999999996</v>
      </c>
      <c r="R54">
        <v>1.8</v>
      </c>
      <c r="S54">
        <v>10.4</v>
      </c>
      <c r="T54" t="s">
        <v>8</v>
      </c>
      <c r="U54">
        <v>3.5</v>
      </c>
      <c r="V54" t="s">
        <v>8</v>
      </c>
      <c r="W54" t="s">
        <v>8</v>
      </c>
      <c r="X54">
        <v>12.7</v>
      </c>
      <c r="Y54">
        <v>16.2</v>
      </c>
      <c r="Z54" t="s">
        <v>8</v>
      </c>
      <c r="AA54" t="s">
        <v>8</v>
      </c>
      <c r="AB54" t="s">
        <v>8</v>
      </c>
    </row>
    <row r="55" spans="1:28" x14ac:dyDescent="0.25">
      <c r="A55">
        <v>54</v>
      </c>
      <c r="B55" t="s">
        <v>467</v>
      </c>
      <c r="C55" t="s">
        <v>90</v>
      </c>
      <c r="D55" s="6">
        <f t="shared" si="0"/>
        <v>4.25</v>
      </c>
      <c r="E55">
        <v>5.2</v>
      </c>
      <c r="F55">
        <v>82.9</v>
      </c>
      <c r="G55" s="3">
        <f t="shared" si="1"/>
        <v>2</v>
      </c>
      <c r="H55" s="3">
        <f t="shared" si="2"/>
        <v>0</v>
      </c>
      <c r="I55" s="3">
        <f t="shared" si="3"/>
        <v>0</v>
      </c>
      <c r="J55" s="3">
        <f t="shared" si="4"/>
        <v>16</v>
      </c>
      <c r="K55">
        <v>2.7</v>
      </c>
      <c r="L55">
        <v>11.1</v>
      </c>
      <c r="M55">
        <v>9.1</v>
      </c>
      <c r="N55">
        <v>7.6</v>
      </c>
      <c r="O55">
        <v>1.7</v>
      </c>
      <c r="P55">
        <v>4.5</v>
      </c>
      <c r="Q55">
        <v>4.8</v>
      </c>
      <c r="R55">
        <v>2.1</v>
      </c>
      <c r="S55">
        <v>2</v>
      </c>
      <c r="T55">
        <v>14.9</v>
      </c>
      <c r="U55">
        <v>3.5</v>
      </c>
      <c r="V55">
        <v>7.8</v>
      </c>
      <c r="W55" t="s">
        <v>8</v>
      </c>
      <c r="X55">
        <v>4</v>
      </c>
      <c r="Y55">
        <v>7.1</v>
      </c>
      <c r="Z55">
        <v>0</v>
      </c>
      <c r="AA55">
        <v>0</v>
      </c>
      <c r="AB55" t="s">
        <v>8</v>
      </c>
    </row>
    <row r="56" spans="1:28" x14ac:dyDescent="0.25">
      <c r="A56">
        <v>55</v>
      </c>
      <c r="B56" t="s">
        <v>109</v>
      </c>
      <c r="C56" t="s">
        <v>32</v>
      </c>
      <c r="D56" s="6">
        <f t="shared" si="0"/>
        <v>5.05</v>
      </c>
      <c r="E56">
        <v>5.9</v>
      </c>
      <c r="F56">
        <v>82.7</v>
      </c>
      <c r="G56" s="3">
        <f t="shared" si="1"/>
        <v>3</v>
      </c>
      <c r="H56" s="3">
        <f t="shared" si="2"/>
        <v>0</v>
      </c>
      <c r="I56" s="3">
        <f t="shared" si="3"/>
        <v>0</v>
      </c>
      <c r="J56" s="3">
        <f t="shared" si="4"/>
        <v>14</v>
      </c>
      <c r="K56">
        <v>6.7</v>
      </c>
      <c r="L56">
        <v>5.5</v>
      </c>
      <c r="M56">
        <v>14.9</v>
      </c>
      <c r="N56">
        <v>11.8</v>
      </c>
      <c r="O56">
        <v>9.1999999999999993</v>
      </c>
      <c r="P56">
        <v>3.4</v>
      </c>
      <c r="Q56" t="s">
        <v>7</v>
      </c>
      <c r="R56">
        <v>4.5999999999999996</v>
      </c>
      <c r="S56" t="s">
        <v>8</v>
      </c>
      <c r="T56" t="s">
        <v>8</v>
      </c>
      <c r="U56" t="s">
        <v>8</v>
      </c>
      <c r="V56">
        <v>2.8</v>
      </c>
      <c r="W56">
        <v>10.1</v>
      </c>
      <c r="X56">
        <v>1.7</v>
      </c>
      <c r="Y56">
        <v>0.3</v>
      </c>
      <c r="Z56">
        <v>8.6</v>
      </c>
      <c r="AA56">
        <v>3.1</v>
      </c>
      <c r="AB56">
        <v>0</v>
      </c>
    </row>
    <row r="57" spans="1:28" x14ac:dyDescent="0.25">
      <c r="A57">
        <v>56</v>
      </c>
      <c r="B57" t="s">
        <v>469</v>
      </c>
      <c r="C57" t="s">
        <v>97</v>
      </c>
      <c r="D57" s="6">
        <f t="shared" si="0"/>
        <v>1.5</v>
      </c>
      <c r="E57">
        <v>4.9000000000000004</v>
      </c>
      <c r="F57">
        <v>73.900000000000006</v>
      </c>
      <c r="G57" s="3">
        <f t="shared" si="1"/>
        <v>4</v>
      </c>
      <c r="H57" s="3">
        <f t="shared" si="2"/>
        <v>0</v>
      </c>
      <c r="I57" s="3">
        <f t="shared" si="3"/>
        <v>0</v>
      </c>
      <c r="J57" s="3">
        <f t="shared" si="4"/>
        <v>15</v>
      </c>
      <c r="K57">
        <v>1.7</v>
      </c>
      <c r="L57">
        <v>0.2</v>
      </c>
      <c r="M57">
        <v>0</v>
      </c>
      <c r="N57">
        <v>1.5</v>
      </c>
      <c r="O57" t="s">
        <v>8</v>
      </c>
      <c r="P57">
        <v>2.9</v>
      </c>
      <c r="Q57">
        <v>5.8</v>
      </c>
      <c r="R57">
        <v>0</v>
      </c>
      <c r="S57">
        <v>-0.2</v>
      </c>
      <c r="T57">
        <v>0.5</v>
      </c>
      <c r="U57" t="s">
        <v>8</v>
      </c>
      <c r="V57">
        <v>0</v>
      </c>
      <c r="W57" t="s">
        <v>7</v>
      </c>
      <c r="X57">
        <v>0.8</v>
      </c>
      <c r="Y57">
        <v>17.5</v>
      </c>
      <c r="Z57">
        <v>14.5</v>
      </c>
      <c r="AA57">
        <v>15.6</v>
      </c>
      <c r="AB57">
        <v>13.1</v>
      </c>
    </row>
    <row r="58" spans="1:28" x14ac:dyDescent="0.25">
      <c r="A58">
        <v>57</v>
      </c>
      <c r="B58" t="s">
        <v>104</v>
      </c>
      <c r="C58" t="s">
        <v>28</v>
      </c>
      <c r="D58" s="6">
        <f t="shared" si="0"/>
        <v>2.6</v>
      </c>
      <c r="E58">
        <v>5.2</v>
      </c>
      <c r="F58">
        <v>73.3</v>
      </c>
      <c r="G58" s="3">
        <f t="shared" si="1"/>
        <v>4</v>
      </c>
      <c r="H58" s="3">
        <f t="shared" si="2"/>
        <v>0</v>
      </c>
      <c r="I58" s="3">
        <f t="shared" si="3"/>
        <v>0</v>
      </c>
      <c r="J58" s="3">
        <f t="shared" si="4"/>
        <v>14</v>
      </c>
      <c r="K58">
        <v>0</v>
      </c>
      <c r="L58">
        <v>2.5</v>
      </c>
      <c r="M58">
        <v>0.2</v>
      </c>
      <c r="N58">
        <v>5.4</v>
      </c>
      <c r="O58">
        <v>12.7</v>
      </c>
      <c r="P58">
        <v>2.7</v>
      </c>
      <c r="Q58">
        <v>11.5</v>
      </c>
      <c r="R58">
        <v>8.9</v>
      </c>
      <c r="S58" t="s">
        <v>8</v>
      </c>
      <c r="T58" t="s">
        <v>8</v>
      </c>
      <c r="U58" t="s">
        <v>8</v>
      </c>
      <c r="V58">
        <v>1.5</v>
      </c>
      <c r="W58">
        <v>0</v>
      </c>
      <c r="X58" t="s">
        <v>7</v>
      </c>
      <c r="Y58">
        <v>14</v>
      </c>
      <c r="Z58">
        <v>12</v>
      </c>
      <c r="AA58">
        <v>1.9</v>
      </c>
      <c r="AB58">
        <v>0</v>
      </c>
    </row>
    <row r="59" spans="1:28" x14ac:dyDescent="0.25">
      <c r="A59">
        <v>58</v>
      </c>
      <c r="B59" t="s">
        <v>471</v>
      </c>
      <c r="C59" t="s">
        <v>26</v>
      </c>
      <c r="D59" s="6">
        <f t="shared" si="0"/>
        <v>2.4</v>
      </c>
      <c r="E59">
        <v>4.7</v>
      </c>
      <c r="F59">
        <v>70.099999999999994</v>
      </c>
      <c r="G59" s="3">
        <f t="shared" si="1"/>
        <v>2</v>
      </c>
      <c r="H59" s="3">
        <f t="shared" si="2"/>
        <v>1</v>
      </c>
      <c r="I59" s="3">
        <f t="shared" si="3"/>
        <v>0</v>
      </c>
      <c r="J59" s="3">
        <f t="shared" si="4"/>
        <v>15</v>
      </c>
      <c r="K59">
        <v>3.9</v>
      </c>
      <c r="L59">
        <v>3.7</v>
      </c>
      <c r="M59">
        <v>12.7</v>
      </c>
      <c r="N59">
        <v>2.2999999999999998</v>
      </c>
      <c r="O59">
        <v>0.4</v>
      </c>
      <c r="P59">
        <v>2.6</v>
      </c>
      <c r="Q59">
        <v>0.5</v>
      </c>
      <c r="R59">
        <v>0.4</v>
      </c>
      <c r="S59" t="s">
        <v>8</v>
      </c>
      <c r="T59" t="s">
        <v>8</v>
      </c>
      <c r="U59">
        <v>2</v>
      </c>
      <c r="V59">
        <v>0.5</v>
      </c>
      <c r="W59">
        <v>2.4</v>
      </c>
      <c r="X59">
        <v>8.8000000000000007</v>
      </c>
      <c r="Y59">
        <v>20.100000000000001</v>
      </c>
      <c r="Z59">
        <v>7.8</v>
      </c>
      <c r="AA59" t="s">
        <v>8</v>
      </c>
      <c r="AB59">
        <v>2</v>
      </c>
    </row>
    <row r="60" spans="1:28" x14ac:dyDescent="0.25">
      <c r="A60">
        <v>59</v>
      </c>
      <c r="B60" t="s">
        <v>470</v>
      </c>
      <c r="C60" t="s">
        <v>12</v>
      </c>
      <c r="D60" s="6">
        <f t="shared" si="0"/>
        <v>10.8</v>
      </c>
      <c r="E60">
        <v>10</v>
      </c>
      <c r="F60">
        <v>69.900000000000006</v>
      </c>
      <c r="G60" s="3">
        <f t="shared" si="1"/>
        <v>4</v>
      </c>
      <c r="H60" s="3">
        <f t="shared" si="2"/>
        <v>1</v>
      </c>
      <c r="I60" s="3">
        <f t="shared" si="3"/>
        <v>0</v>
      </c>
      <c r="J60" s="3">
        <f t="shared" si="4"/>
        <v>7</v>
      </c>
      <c r="K60" t="s">
        <v>8</v>
      </c>
      <c r="L60" t="s">
        <v>8</v>
      </c>
      <c r="M60" t="s">
        <v>8</v>
      </c>
      <c r="N60" t="s">
        <v>8</v>
      </c>
      <c r="O60" t="s">
        <v>8</v>
      </c>
      <c r="P60" t="s">
        <v>8</v>
      </c>
      <c r="Q60">
        <v>1.9</v>
      </c>
      <c r="R60" t="s">
        <v>8</v>
      </c>
      <c r="S60">
        <v>20.399999999999999</v>
      </c>
      <c r="T60">
        <v>13.6</v>
      </c>
      <c r="U60">
        <v>5.0999999999999996</v>
      </c>
      <c r="V60">
        <v>10.9</v>
      </c>
      <c r="W60" t="s">
        <v>7</v>
      </c>
      <c r="X60">
        <v>7.2</v>
      </c>
      <c r="Y60">
        <v>10.8</v>
      </c>
      <c r="Z60" t="s">
        <v>8</v>
      </c>
      <c r="AA60" t="s">
        <v>8</v>
      </c>
      <c r="AB60" t="s">
        <v>8</v>
      </c>
    </row>
    <row r="61" spans="1:28" x14ac:dyDescent="0.25">
      <c r="A61">
        <v>60</v>
      </c>
      <c r="B61" t="s">
        <v>472</v>
      </c>
      <c r="C61" t="s">
        <v>90</v>
      </c>
      <c r="D61" s="6">
        <f t="shared" si="0"/>
        <v>2.1</v>
      </c>
      <c r="E61">
        <v>3.6</v>
      </c>
      <c r="F61">
        <v>61.7</v>
      </c>
      <c r="G61" s="3">
        <f t="shared" si="1"/>
        <v>2</v>
      </c>
      <c r="H61" s="3">
        <f t="shared" si="2"/>
        <v>0</v>
      </c>
      <c r="I61" s="3">
        <f t="shared" si="3"/>
        <v>0</v>
      </c>
      <c r="J61" s="3">
        <f t="shared" si="4"/>
        <v>17</v>
      </c>
      <c r="K61">
        <v>15.1</v>
      </c>
      <c r="L61">
        <v>3.9</v>
      </c>
      <c r="M61">
        <v>2.7</v>
      </c>
      <c r="N61">
        <v>6.5</v>
      </c>
      <c r="O61" t="s">
        <v>8</v>
      </c>
      <c r="P61">
        <v>1.4</v>
      </c>
      <c r="Q61">
        <v>13.5</v>
      </c>
      <c r="R61">
        <v>2.1</v>
      </c>
      <c r="S61">
        <v>3.2</v>
      </c>
      <c r="T61">
        <v>1.6</v>
      </c>
      <c r="U61">
        <v>1.3</v>
      </c>
      <c r="V61">
        <v>3.4</v>
      </c>
      <c r="W61">
        <v>4.5</v>
      </c>
      <c r="X61">
        <v>0.6</v>
      </c>
      <c r="Y61">
        <v>1.8</v>
      </c>
      <c r="Z61">
        <v>-0.2</v>
      </c>
      <c r="AA61">
        <v>0.2</v>
      </c>
      <c r="AB61">
        <v>0.1</v>
      </c>
    </row>
    <row r="62" spans="1:28" x14ac:dyDescent="0.25">
      <c r="A62">
        <v>61</v>
      </c>
      <c r="B62" t="s">
        <v>473</v>
      </c>
      <c r="C62" t="s">
        <v>90</v>
      </c>
      <c r="D62" s="6">
        <f t="shared" si="0"/>
        <v>3.2</v>
      </c>
      <c r="E62">
        <v>4.7</v>
      </c>
      <c r="F62">
        <v>60.8</v>
      </c>
      <c r="G62" s="3">
        <f t="shared" si="1"/>
        <v>2</v>
      </c>
      <c r="H62" s="3">
        <f t="shared" si="2"/>
        <v>0</v>
      </c>
      <c r="I62" s="3">
        <f t="shared" si="3"/>
        <v>0</v>
      </c>
      <c r="J62" s="3">
        <f t="shared" si="4"/>
        <v>13</v>
      </c>
      <c r="K62">
        <v>7.2</v>
      </c>
      <c r="L62">
        <v>2.9</v>
      </c>
      <c r="M62" t="s">
        <v>8</v>
      </c>
      <c r="N62" t="s">
        <v>8</v>
      </c>
      <c r="O62" t="s">
        <v>8</v>
      </c>
      <c r="P62" t="s">
        <v>8</v>
      </c>
      <c r="Q62">
        <v>1.4</v>
      </c>
      <c r="R62">
        <v>4.8</v>
      </c>
      <c r="S62">
        <v>3.2</v>
      </c>
      <c r="T62">
        <v>2</v>
      </c>
      <c r="U62" t="s">
        <v>8</v>
      </c>
      <c r="V62">
        <v>3</v>
      </c>
      <c r="W62">
        <v>2.6</v>
      </c>
      <c r="X62">
        <v>4.3</v>
      </c>
      <c r="Y62">
        <v>3.6</v>
      </c>
      <c r="Z62">
        <v>2.2999999999999998</v>
      </c>
      <c r="AA62">
        <v>11.1</v>
      </c>
      <c r="AB62">
        <v>12.4</v>
      </c>
    </row>
    <row r="63" spans="1:28" x14ac:dyDescent="0.25">
      <c r="A63">
        <v>62</v>
      </c>
      <c r="B63" t="s">
        <v>474</v>
      </c>
      <c r="C63" t="s">
        <v>28</v>
      </c>
      <c r="D63" s="6">
        <f t="shared" si="0"/>
        <v>2.9</v>
      </c>
      <c r="E63">
        <v>3.9</v>
      </c>
      <c r="F63">
        <v>58.8</v>
      </c>
      <c r="G63" s="3">
        <f t="shared" si="1"/>
        <v>1</v>
      </c>
      <c r="H63" s="3">
        <f t="shared" si="2"/>
        <v>0</v>
      </c>
      <c r="I63" s="3">
        <f t="shared" si="3"/>
        <v>0</v>
      </c>
      <c r="J63" s="3">
        <f t="shared" si="4"/>
        <v>15</v>
      </c>
      <c r="K63">
        <v>3.8</v>
      </c>
      <c r="L63">
        <v>2.1</v>
      </c>
      <c r="M63">
        <v>1.3</v>
      </c>
      <c r="N63">
        <v>4.0999999999999996</v>
      </c>
      <c r="O63">
        <v>5.2</v>
      </c>
      <c r="P63">
        <v>0.5</v>
      </c>
      <c r="Q63" t="s">
        <v>8</v>
      </c>
      <c r="R63">
        <v>0.2</v>
      </c>
      <c r="S63">
        <v>8.4</v>
      </c>
      <c r="T63">
        <v>0</v>
      </c>
      <c r="U63" t="s">
        <v>8</v>
      </c>
      <c r="V63">
        <v>7.4</v>
      </c>
      <c r="W63">
        <v>2.5</v>
      </c>
      <c r="X63" t="s">
        <v>7</v>
      </c>
      <c r="Y63">
        <v>6.7</v>
      </c>
      <c r="Z63">
        <v>0</v>
      </c>
      <c r="AA63">
        <v>13.7</v>
      </c>
      <c r="AB63">
        <v>2.9</v>
      </c>
    </row>
    <row r="64" spans="1:28" x14ac:dyDescent="0.25">
      <c r="A64">
        <v>63</v>
      </c>
      <c r="B64" t="s">
        <v>29</v>
      </c>
      <c r="C64" t="s">
        <v>30</v>
      </c>
      <c r="D64" s="6">
        <f t="shared" si="0"/>
        <v>3.3000000000000003</v>
      </c>
      <c r="E64">
        <v>4.5</v>
      </c>
      <c r="F64">
        <v>53.5</v>
      </c>
      <c r="G64" s="3">
        <f t="shared" si="1"/>
        <v>1</v>
      </c>
      <c r="H64" s="3">
        <f t="shared" si="2"/>
        <v>0</v>
      </c>
      <c r="I64" s="3">
        <f t="shared" si="3"/>
        <v>0</v>
      </c>
      <c r="J64" s="3">
        <f t="shared" si="4"/>
        <v>12</v>
      </c>
      <c r="K64" t="s">
        <v>8</v>
      </c>
      <c r="L64">
        <v>0.2</v>
      </c>
      <c r="M64">
        <v>0</v>
      </c>
      <c r="N64">
        <v>0.7</v>
      </c>
      <c r="O64">
        <v>1.2</v>
      </c>
      <c r="P64">
        <v>2.2000000000000002</v>
      </c>
      <c r="Q64" t="s">
        <v>7</v>
      </c>
      <c r="R64" t="s">
        <v>8</v>
      </c>
      <c r="S64" t="s">
        <v>8</v>
      </c>
      <c r="T64" t="s">
        <v>8</v>
      </c>
      <c r="U64" t="s">
        <v>8</v>
      </c>
      <c r="V64">
        <v>0</v>
      </c>
      <c r="W64">
        <v>6.1</v>
      </c>
      <c r="X64">
        <v>19.5</v>
      </c>
      <c r="Y64">
        <v>8.1</v>
      </c>
      <c r="Z64">
        <v>4.4000000000000004</v>
      </c>
      <c r="AA64">
        <v>4.8</v>
      </c>
      <c r="AB64">
        <v>6.3</v>
      </c>
    </row>
    <row r="65" spans="1:28" x14ac:dyDescent="0.25">
      <c r="A65">
        <v>64</v>
      </c>
      <c r="B65" t="s">
        <v>476</v>
      </c>
      <c r="C65" t="s">
        <v>62</v>
      </c>
      <c r="D65" s="6">
        <f t="shared" si="0"/>
        <v>2.2999999999999998</v>
      </c>
      <c r="E65">
        <v>4.3</v>
      </c>
      <c r="F65">
        <v>47.5</v>
      </c>
      <c r="G65" s="3">
        <f t="shared" si="1"/>
        <v>2</v>
      </c>
      <c r="H65" s="3">
        <f t="shared" si="2"/>
        <v>0</v>
      </c>
      <c r="I65" s="3">
        <f t="shared" si="3"/>
        <v>0</v>
      </c>
      <c r="J65" s="3">
        <f t="shared" si="4"/>
        <v>11</v>
      </c>
      <c r="K65">
        <v>1</v>
      </c>
      <c r="L65" t="s">
        <v>8</v>
      </c>
      <c r="M65">
        <v>7.4</v>
      </c>
      <c r="N65" t="s">
        <v>8</v>
      </c>
      <c r="O65" t="s">
        <v>8</v>
      </c>
      <c r="P65">
        <v>-0.3</v>
      </c>
      <c r="Q65">
        <v>-0.1</v>
      </c>
      <c r="R65">
        <v>0.2</v>
      </c>
      <c r="S65" t="s">
        <v>8</v>
      </c>
      <c r="T65">
        <v>2.2999999999999998</v>
      </c>
      <c r="U65">
        <v>2.4</v>
      </c>
      <c r="V65">
        <v>4.5999999999999996</v>
      </c>
      <c r="W65">
        <v>1.3</v>
      </c>
      <c r="X65" t="s">
        <v>8</v>
      </c>
      <c r="Y65" t="s">
        <v>8</v>
      </c>
      <c r="Z65" t="s">
        <v>8</v>
      </c>
      <c r="AA65">
        <v>14</v>
      </c>
      <c r="AB65">
        <v>14.7</v>
      </c>
    </row>
    <row r="66" spans="1:28" x14ac:dyDescent="0.25">
      <c r="A66">
        <v>65</v>
      </c>
      <c r="B66" t="s">
        <v>479</v>
      </c>
      <c r="C66" t="s">
        <v>90</v>
      </c>
      <c r="D66" s="6">
        <f t="shared" ref="D66:D73" si="5">MEDIAN(K66:AB66)</f>
        <v>1.6</v>
      </c>
      <c r="E66">
        <v>2.8</v>
      </c>
      <c r="F66">
        <v>46.9</v>
      </c>
      <c r="G66" s="3">
        <f t="shared" ref="G66:G73" si="6">COUNTIFS(K66:AB66,"&gt;=10",K66:AB66,"&lt;=99")</f>
        <v>2</v>
      </c>
      <c r="H66" s="3">
        <f t="shared" ref="H66:H73" si="7">COUNTIFS(K66:AB66,"&gt;=20",K66:AB66,"&lt;=99")</f>
        <v>0</v>
      </c>
      <c r="I66" s="3">
        <f t="shared" ref="I66:I73" si="8">COUNTIFS(K66:AB66,"&gt;=30",K66:AB66,"&lt;=99")</f>
        <v>0</v>
      </c>
      <c r="J66" s="3">
        <f t="shared" ref="J66:J73" si="9">COUNT(K66:AB66)</f>
        <v>17</v>
      </c>
      <c r="K66">
        <v>1.6</v>
      </c>
      <c r="L66">
        <v>0.5</v>
      </c>
      <c r="M66">
        <v>10.8</v>
      </c>
      <c r="N66">
        <v>12.8</v>
      </c>
      <c r="O66">
        <v>3.4</v>
      </c>
      <c r="P66">
        <v>1.3</v>
      </c>
      <c r="Q66">
        <v>1.9</v>
      </c>
      <c r="R66">
        <v>2.7</v>
      </c>
      <c r="S66">
        <v>2.1</v>
      </c>
      <c r="T66">
        <v>0.3</v>
      </c>
      <c r="U66">
        <v>-0.1</v>
      </c>
      <c r="V66">
        <v>2.6</v>
      </c>
      <c r="W66" t="s">
        <v>8</v>
      </c>
      <c r="X66">
        <v>1.6</v>
      </c>
      <c r="Y66">
        <v>4.0999999999999996</v>
      </c>
      <c r="Z66">
        <v>1.3</v>
      </c>
      <c r="AA66">
        <v>0</v>
      </c>
      <c r="AB66">
        <v>0</v>
      </c>
    </row>
    <row r="67" spans="1:28" x14ac:dyDescent="0.25">
      <c r="A67">
        <v>66</v>
      </c>
      <c r="B67" t="s">
        <v>84</v>
      </c>
      <c r="C67" t="s">
        <v>26</v>
      </c>
      <c r="D67" s="6">
        <f t="shared" si="5"/>
        <v>7.1</v>
      </c>
      <c r="E67">
        <v>6.7</v>
      </c>
      <c r="F67">
        <v>46.7</v>
      </c>
      <c r="G67" s="3">
        <f t="shared" si="6"/>
        <v>0</v>
      </c>
      <c r="H67" s="3">
        <f t="shared" si="7"/>
        <v>0</v>
      </c>
      <c r="I67" s="3">
        <f t="shared" si="8"/>
        <v>0</v>
      </c>
      <c r="J67" s="3">
        <f t="shared" si="9"/>
        <v>7</v>
      </c>
      <c r="K67">
        <v>8.9</v>
      </c>
      <c r="L67" t="s">
        <v>8</v>
      </c>
      <c r="M67" t="s">
        <v>8</v>
      </c>
      <c r="N67">
        <v>7.1</v>
      </c>
      <c r="O67">
        <v>3.8</v>
      </c>
      <c r="P67">
        <v>2.5</v>
      </c>
      <c r="Q67">
        <v>8.1</v>
      </c>
      <c r="R67">
        <v>9.5</v>
      </c>
      <c r="S67">
        <v>6.8</v>
      </c>
      <c r="T67" t="s">
        <v>8</v>
      </c>
      <c r="U67" t="s">
        <v>7</v>
      </c>
      <c r="V67" t="s">
        <v>8</v>
      </c>
      <c r="W67" t="s">
        <v>8</v>
      </c>
      <c r="X67" t="s">
        <v>8</v>
      </c>
      <c r="Y67" t="s">
        <v>8</v>
      </c>
      <c r="Z67" t="s">
        <v>8</v>
      </c>
      <c r="AA67" t="s">
        <v>8</v>
      </c>
      <c r="AB67" t="s">
        <v>8</v>
      </c>
    </row>
    <row r="68" spans="1:28" x14ac:dyDescent="0.25">
      <c r="A68">
        <v>67</v>
      </c>
      <c r="B68" t="s">
        <v>475</v>
      </c>
      <c r="C68" t="s">
        <v>90</v>
      </c>
      <c r="D68" s="6">
        <f t="shared" si="5"/>
        <v>2.5</v>
      </c>
      <c r="E68">
        <v>4.2</v>
      </c>
      <c r="F68">
        <v>46.2</v>
      </c>
      <c r="G68" s="3">
        <f t="shared" si="6"/>
        <v>2</v>
      </c>
      <c r="H68" s="3">
        <f t="shared" si="7"/>
        <v>0</v>
      </c>
      <c r="I68" s="3">
        <f t="shared" si="8"/>
        <v>0</v>
      </c>
      <c r="J68" s="3">
        <f t="shared" si="9"/>
        <v>11</v>
      </c>
      <c r="K68" t="s">
        <v>8</v>
      </c>
      <c r="L68" t="s">
        <v>8</v>
      </c>
      <c r="M68">
        <v>0</v>
      </c>
      <c r="N68">
        <v>0</v>
      </c>
      <c r="O68" t="s">
        <v>8</v>
      </c>
      <c r="P68" t="s">
        <v>8</v>
      </c>
      <c r="Q68">
        <v>6.6</v>
      </c>
      <c r="R68">
        <v>10.4</v>
      </c>
      <c r="S68">
        <v>3.2</v>
      </c>
      <c r="T68" t="s">
        <v>8</v>
      </c>
      <c r="U68">
        <v>7.3</v>
      </c>
      <c r="V68">
        <v>13.7</v>
      </c>
      <c r="W68">
        <v>0</v>
      </c>
      <c r="X68">
        <v>0.9</v>
      </c>
      <c r="Y68">
        <v>1.6</v>
      </c>
      <c r="Z68" t="s">
        <v>8</v>
      </c>
      <c r="AA68" t="s">
        <v>8</v>
      </c>
      <c r="AB68">
        <v>2.5</v>
      </c>
    </row>
    <row r="69" spans="1:28" x14ac:dyDescent="0.25">
      <c r="A69">
        <v>68</v>
      </c>
      <c r="B69" t="s">
        <v>72</v>
      </c>
      <c r="C69" t="s">
        <v>38</v>
      </c>
      <c r="D69" s="6">
        <f t="shared" si="5"/>
        <v>0.64999999999999991</v>
      </c>
      <c r="E69">
        <v>2.8</v>
      </c>
      <c r="F69">
        <v>44.7</v>
      </c>
      <c r="G69" s="3">
        <f t="shared" si="6"/>
        <v>1</v>
      </c>
      <c r="H69" s="3">
        <f t="shared" si="7"/>
        <v>0</v>
      </c>
      <c r="I69" s="3">
        <f t="shared" si="8"/>
        <v>0</v>
      </c>
      <c r="J69" s="3">
        <f t="shared" si="9"/>
        <v>16</v>
      </c>
      <c r="K69" t="s">
        <v>8</v>
      </c>
      <c r="L69">
        <v>0</v>
      </c>
      <c r="M69">
        <v>1.1000000000000001</v>
      </c>
      <c r="N69">
        <v>3.3</v>
      </c>
      <c r="O69">
        <v>12.9</v>
      </c>
      <c r="P69">
        <v>8.6999999999999993</v>
      </c>
      <c r="Q69">
        <v>0</v>
      </c>
      <c r="R69">
        <v>0</v>
      </c>
      <c r="S69" t="s">
        <v>8</v>
      </c>
      <c r="T69">
        <v>0</v>
      </c>
      <c r="U69">
        <v>0</v>
      </c>
      <c r="V69">
        <v>0</v>
      </c>
      <c r="W69">
        <v>1</v>
      </c>
      <c r="X69">
        <v>9.6</v>
      </c>
      <c r="Y69">
        <v>2</v>
      </c>
      <c r="Z69">
        <v>0</v>
      </c>
      <c r="AA69">
        <v>0.3</v>
      </c>
      <c r="AB69">
        <v>5.8</v>
      </c>
    </row>
    <row r="70" spans="1:28" x14ac:dyDescent="0.25">
      <c r="A70">
        <v>69</v>
      </c>
      <c r="B70" t="s">
        <v>478</v>
      </c>
      <c r="C70" t="s">
        <v>90</v>
      </c>
      <c r="D70" s="6">
        <f t="shared" si="5"/>
        <v>12.2</v>
      </c>
      <c r="E70">
        <v>10.9</v>
      </c>
      <c r="F70">
        <v>43.5</v>
      </c>
      <c r="G70" s="3">
        <f t="shared" si="6"/>
        <v>3</v>
      </c>
      <c r="H70" s="3">
        <f t="shared" si="7"/>
        <v>0</v>
      </c>
      <c r="I70" s="3">
        <f t="shared" si="8"/>
        <v>0</v>
      </c>
      <c r="J70" s="3">
        <f t="shared" si="9"/>
        <v>4</v>
      </c>
      <c r="K70" t="s">
        <v>8</v>
      </c>
      <c r="L70" t="s">
        <v>8</v>
      </c>
      <c r="M70" t="s">
        <v>8</v>
      </c>
      <c r="N70" t="s">
        <v>8</v>
      </c>
      <c r="O70" t="s">
        <v>8</v>
      </c>
      <c r="P70" t="s">
        <v>8</v>
      </c>
      <c r="Q70">
        <v>13.6</v>
      </c>
      <c r="R70">
        <v>11.5</v>
      </c>
      <c r="S70">
        <v>5.5</v>
      </c>
      <c r="T70" t="s">
        <v>8</v>
      </c>
      <c r="U70">
        <v>12.9</v>
      </c>
      <c r="V70" t="s">
        <v>8</v>
      </c>
      <c r="W70" t="s">
        <v>8</v>
      </c>
      <c r="X70" t="s">
        <v>8</v>
      </c>
      <c r="Y70" t="s">
        <v>8</v>
      </c>
      <c r="Z70" t="s">
        <v>8</v>
      </c>
      <c r="AA70" t="s">
        <v>8</v>
      </c>
      <c r="AB70" t="s">
        <v>8</v>
      </c>
    </row>
    <row r="71" spans="1:28" x14ac:dyDescent="0.25">
      <c r="A71">
        <v>70</v>
      </c>
      <c r="B71" t="s">
        <v>480</v>
      </c>
      <c r="C71" t="s">
        <v>26</v>
      </c>
      <c r="D71" s="6">
        <f t="shared" si="5"/>
        <v>3.5</v>
      </c>
      <c r="E71">
        <v>5.4</v>
      </c>
      <c r="F71">
        <v>43.3</v>
      </c>
      <c r="G71" s="3">
        <f t="shared" si="6"/>
        <v>2</v>
      </c>
      <c r="H71" s="3">
        <f t="shared" si="7"/>
        <v>0</v>
      </c>
      <c r="I71" s="3">
        <f t="shared" si="8"/>
        <v>0</v>
      </c>
      <c r="J71" s="3">
        <f t="shared" si="9"/>
        <v>8</v>
      </c>
      <c r="K71" t="s">
        <v>8</v>
      </c>
      <c r="L71" t="s">
        <v>8</v>
      </c>
      <c r="M71">
        <v>4.4000000000000004</v>
      </c>
      <c r="N71">
        <v>1.8</v>
      </c>
      <c r="O71">
        <v>13</v>
      </c>
      <c r="P71">
        <v>2.2000000000000002</v>
      </c>
      <c r="Q71">
        <v>0</v>
      </c>
      <c r="R71">
        <v>2.9</v>
      </c>
      <c r="S71">
        <v>4.0999999999999996</v>
      </c>
      <c r="T71" t="s">
        <v>8</v>
      </c>
      <c r="U71" t="s">
        <v>7</v>
      </c>
      <c r="V71" t="s">
        <v>8</v>
      </c>
      <c r="W71" t="s">
        <v>8</v>
      </c>
      <c r="X71" t="s">
        <v>8</v>
      </c>
      <c r="Y71" t="s">
        <v>8</v>
      </c>
      <c r="Z71" t="s">
        <v>8</v>
      </c>
      <c r="AA71" t="s">
        <v>8</v>
      </c>
      <c r="AB71">
        <v>14.9</v>
      </c>
    </row>
    <row r="72" spans="1:28" x14ac:dyDescent="0.25">
      <c r="A72">
        <v>71</v>
      </c>
      <c r="B72" t="s">
        <v>482</v>
      </c>
      <c r="C72" t="s">
        <v>24</v>
      </c>
      <c r="D72" s="6">
        <f t="shared" si="5"/>
        <v>4.45</v>
      </c>
      <c r="E72">
        <v>5.4</v>
      </c>
      <c r="F72">
        <v>42.9</v>
      </c>
      <c r="G72" s="3">
        <f t="shared" si="6"/>
        <v>2</v>
      </c>
      <c r="H72" s="3">
        <f t="shared" si="7"/>
        <v>0</v>
      </c>
      <c r="I72" s="3">
        <f t="shared" si="8"/>
        <v>0</v>
      </c>
      <c r="J72" s="3">
        <f t="shared" si="9"/>
        <v>8</v>
      </c>
      <c r="K72">
        <v>1.1000000000000001</v>
      </c>
      <c r="L72">
        <v>7.1</v>
      </c>
      <c r="M72" t="s">
        <v>8</v>
      </c>
      <c r="N72" t="s">
        <v>8</v>
      </c>
      <c r="O72" t="s">
        <v>8</v>
      </c>
      <c r="P72">
        <v>12.4</v>
      </c>
      <c r="Q72">
        <v>1.3</v>
      </c>
      <c r="R72">
        <v>5.7</v>
      </c>
      <c r="S72">
        <v>3.2</v>
      </c>
      <c r="T72" t="s">
        <v>8</v>
      </c>
      <c r="U72">
        <v>12.1</v>
      </c>
      <c r="V72">
        <v>0</v>
      </c>
      <c r="W72" t="s">
        <v>8</v>
      </c>
      <c r="X72" t="s">
        <v>8</v>
      </c>
      <c r="Y72" t="s">
        <v>8</v>
      </c>
      <c r="Z72" t="s">
        <v>8</v>
      </c>
      <c r="AA72" t="s">
        <v>8</v>
      </c>
      <c r="AB72" t="s">
        <v>8</v>
      </c>
    </row>
    <row r="73" spans="1:28" x14ac:dyDescent="0.25">
      <c r="A73">
        <v>72</v>
      </c>
      <c r="B73" t="s">
        <v>477</v>
      </c>
      <c r="C73" t="s">
        <v>69</v>
      </c>
      <c r="D73" s="6">
        <f t="shared" si="5"/>
        <v>2</v>
      </c>
      <c r="E73">
        <v>2.5</v>
      </c>
      <c r="F73">
        <v>42.8</v>
      </c>
      <c r="G73" s="3">
        <f t="shared" si="6"/>
        <v>0</v>
      </c>
      <c r="H73" s="3">
        <f t="shared" si="7"/>
        <v>0</v>
      </c>
      <c r="I73" s="3">
        <f t="shared" si="8"/>
        <v>0</v>
      </c>
      <c r="J73" s="3">
        <f t="shared" si="9"/>
        <v>17</v>
      </c>
      <c r="K73">
        <v>0</v>
      </c>
      <c r="L73">
        <v>6.1</v>
      </c>
      <c r="M73">
        <v>2.7</v>
      </c>
      <c r="N73">
        <v>4.9000000000000004</v>
      </c>
      <c r="O73" t="s">
        <v>7</v>
      </c>
      <c r="P73">
        <v>0</v>
      </c>
      <c r="Q73">
        <v>2.5</v>
      </c>
      <c r="R73">
        <v>9.1999999999999993</v>
      </c>
      <c r="S73">
        <v>1.2</v>
      </c>
      <c r="T73">
        <v>0</v>
      </c>
      <c r="U73">
        <v>1.5</v>
      </c>
      <c r="V73">
        <v>0</v>
      </c>
      <c r="W73">
        <v>2</v>
      </c>
      <c r="X73">
        <v>0</v>
      </c>
      <c r="Y73">
        <v>3.1</v>
      </c>
      <c r="Z73">
        <v>2.2000000000000002</v>
      </c>
      <c r="AA73">
        <v>0.9</v>
      </c>
      <c r="AB73">
        <v>6.5</v>
      </c>
    </row>
    <row r="74" spans="1:28" x14ac:dyDescent="0.25">
      <c r="A74">
        <v>73</v>
      </c>
      <c r="B74" t="s">
        <v>483</v>
      </c>
      <c r="C74" t="s">
        <v>90</v>
      </c>
      <c r="E74">
        <v>4.0999999999999996</v>
      </c>
      <c r="F74">
        <v>41.3</v>
      </c>
      <c r="K74" t="s">
        <v>8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  <c r="Q74">
        <v>1.4</v>
      </c>
      <c r="R74">
        <v>5.7</v>
      </c>
      <c r="S74">
        <v>6.8</v>
      </c>
      <c r="T74" t="s">
        <v>8</v>
      </c>
      <c r="U74" t="s">
        <v>8</v>
      </c>
      <c r="V74">
        <v>10.3</v>
      </c>
      <c r="W74">
        <v>1.1000000000000001</v>
      </c>
      <c r="X74">
        <v>0</v>
      </c>
      <c r="Y74">
        <v>1.6</v>
      </c>
      <c r="Z74">
        <v>3.5</v>
      </c>
      <c r="AA74">
        <v>6.4</v>
      </c>
      <c r="AB74">
        <v>4.5</v>
      </c>
    </row>
    <row r="75" spans="1:28" x14ac:dyDescent="0.25">
      <c r="A75">
        <v>74</v>
      </c>
      <c r="B75" t="s">
        <v>75</v>
      </c>
      <c r="C75" t="s">
        <v>76</v>
      </c>
      <c r="E75">
        <v>2.4</v>
      </c>
      <c r="F75">
        <v>41</v>
      </c>
      <c r="K75">
        <v>0</v>
      </c>
      <c r="L75">
        <v>1.5</v>
      </c>
      <c r="M75">
        <v>3.6</v>
      </c>
      <c r="N75">
        <v>3.4</v>
      </c>
      <c r="O75">
        <v>2.5</v>
      </c>
      <c r="P75">
        <v>0</v>
      </c>
      <c r="Q75">
        <v>0</v>
      </c>
      <c r="R75">
        <v>2.9</v>
      </c>
      <c r="S75">
        <v>4.5</v>
      </c>
      <c r="T75">
        <v>1.4</v>
      </c>
      <c r="U75">
        <v>1.4</v>
      </c>
      <c r="V75">
        <v>2.2999999999999998</v>
      </c>
      <c r="W75" t="s">
        <v>8</v>
      </c>
      <c r="X75">
        <v>3.9</v>
      </c>
      <c r="Y75">
        <v>6.5</v>
      </c>
      <c r="Z75">
        <v>2.2000000000000002</v>
      </c>
      <c r="AA75">
        <v>3.2</v>
      </c>
      <c r="AB75">
        <v>1.7</v>
      </c>
    </row>
    <row r="76" spans="1:28" x14ac:dyDescent="0.25">
      <c r="A76">
        <v>75</v>
      </c>
      <c r="B76" t="s">
        <v>484</v>
      </c>
      <c r="C76" t="s">
        <v>90</v>
      </c>
      <c r="E76">
        <v>2.7</v>
      </c>
      <c r="F76">
        <v>40.200000000000003</v>
      </c>
      <c r="K76">
        <v>8.9</v>
      </c>
      <c r="L76">
        <v>0.2</v>
      </c>
      <c r="M76">
        <v>5.9</v>
      </c>
      <c r="N76">
        <v>2.8</v>
      </c>
      <c r="O76">
        <v>2.2999999999999998</v>
      </c>
      <c r="P76">
        <v>2.4</v>
      </c>
      <c r="Q76" t="s">
        <v>8</v>
      </c>
      <c r="R76">
        <v>0.5</v>
      </c>
      <c r="S76">
        <v>1.8</v>
      </c>
      <c r="T76">
        <v>2.6</v>
      </c>
      <c r="U76">
        <v>1.3</v>
      </c>
      <c r="V76">
        <v>4.0999999999999996</v>
      </c>
      <c r="W76">
        <v>3.6</v>
      </c>
      <c r="X76">
        <v>1.8</v>
      </c>
      <c r="Y76">
        <v>2</v>
      </c>
      <c r="Z76">
        <v>0</v>
      </c>
      <c r="AA76" t="s">
        <v>8</v>
      </c>
      <c r="AB76" t="s">
        <v>8</v>
      </c>
    </row>
    <row r="77" spans="1:28" x14ac:dyDescent="0.25">
      <c r="A77">
        <v>76</v>
      </c>
      <c r="B77" t="s">
        <v>485</v>
      </c>
      <c r="C77" t="s">
        <v>90</v>
      </c>
      <c r="E77">
        <v>3.1</v>
      </c>
      <c r="F77">
        <v>39.700000000000003</v>
      </c>
      <c r="K77">
        <v>0.8</v>
      </c>
      <c r="L77">
        <v>1.2</v>
      </c>
      <c r="M77" t="s">
        <v>8</v>
      </c>
      <c r="N77" t="s">
        <v>8</v>
      </c>
      <c r="O77" t="s">
        <v>8</v>
      </c>
      <c r="P77" t="s">
        <v>8</v>
      </c>
      <c r="Q77" t="s">
        <v>8</v>
      </c>
      <c r="R77">
        <v>4.0999999999999996</v>
      </c>
      <c r="S77">
        <v>0.4</v>
      </c>
      <c r="T77">
        <v>1.7</v>
      </c>
      <c r="U77">
        <v>2.9</v>
      </c>
      <c r="V77">
        <v>1.1000000000000001</v>
      </c>
      <c r="W77">
        <v>1.9</v>
      </c>
      <c r="X77">
        <v>7.8</v>
      </c>
      <c r="Y77">
        <v>1.3</v>
      </c>
      <c r="Z77">
        <v>2.5</v>
      </c>
      <c r="AA77">
        <v>10.6</v>
      </c>
      <c r="AB77">
        <v>3.4</v>
      </c>
    </row>
    <row r="78" spans="1:28" x14ac:dyDescent="0.25">
      <c r="A78">
        <v>77</v>
      </c>
      <c r="B78" t="s">
        <v>103</v>
      </c>
      <c r="C78" t="s">
        <v>76</v>
      </c>
      <c r="E78">
        <v>2.2999999999999998</v>
      </c>
      <c r="F78">
        <v>38.5</v>
      </c>
      <c r="K78">
        <v>0</v>
      </c>
      <c r="L78">
        <v>0</v>
      </c>
      <c r="M78">
        <v>0.3</v>
      </c>
      <c r="N78">
        <v>1.7</v>
      </c>
      <c r="O78">
        <v>12.6</v>
      </c>
      <c r="P78">
        <v>1.9</v>
      </c>
      <c r="Q78">
        <v>0</v>
      </c>
      <c r="R78">
        <v>0</v>
      </c>
      <c r="S78" t="s">
        <v>7</v>
      </c>
      <c r="T78">
        <v>10.6</v>
      </c>
      <c r="U78">
        <v>0</v>
      </c>
      <c r="V78">
        <v>0</v>
      </c>
      <c r="W78">
        <v>0</v>
      </c>
      <c r="X78">
        <v>0</v>
      </c>
      <c r="Y78">
        <v>4.5999999999999996</v>
      </c>
      <c r="Z78">
        <v>1.5</v>
      </c>
      <c r="AA78">
        <v>5.3</v>
      </c>
      <c r="AB78">
        <v>0</v>
      </c>
    </row>
    <row r="79" spans="1:28" x14ac:dyDescent="0.25">
      <c r="A79">
        <v>78</v>
      </c>
      <c r="B79" t="s">
        <v>481</v>
      </c>
      <c r="C79" t="s">
        <v>60</v>
      </c>
      <c r="E79">
        <v>3.4</v>
      </c>
      <c r="F79">
        <v>37.9</v>
      </c>
      <c r="K79">
        <v>0.7</v>
      </c>
      <c r="L79">
        <v>0</v>
      </c>
      <c r="M79">
        <v>0</v>
      </c>
      <c r="N79" t="s">
        <v>8</v>
      </c>
      <c r="O79" t="s">
        <v>8</v>
      </c>
      <c r="P79">
        <v>2.2999999999999998</v>
      </c>
      <c r="Q79">
        <v>3.1</v>
      </c>
      <c r="R79" t="s">
        <v>8</v>
      </c>
      <c r="S79">
        <v>0</v>
      </c>
      <c r="T79" t="s">
        <v>8</v>
      </c>
      <c r="U79">
        <v>3.8</v>
      </c>
      <c r="V79">
        <v>2.1</v>
      </c>
      <c r="W79">
        <v>2.9</v>
      </c>
      <c r="X79" t="s">
        <v>7</v>
      </c>
      <c r="Y79">
        <v>3.5</v>
      </c>
      <c r="Z79">
        <v>19.5</v>
      </c>
      <c r="AA79" t="s">
        <v>8</v>
      </c>
      <c r="AB79" t="s">
        <v>8</v>
      </c>
    </row>
    <row r="80" spans="1:28" x14ac:dyDescent="0.25">
      <c r="A80">
        <v>79</v>
      </c>
      <c r="B80" t="s">
        <v>486</v>
      </c>
      <c r="C80" t="s">
        <v>90</v>
      </c>
      <c r="E80">
        <v>2.8</v>
      </c>
      <c r="F80">
        <v>36.9</v>
      </c>
      <c r="K80" t="s">
        <v>8</v>
      </c>
      <c r="L80" t="s">
        <v>8</v>
      </c>
      <c r="M80" t="s">
        <v>8</v>
      </c>
      <c r="N80" t="s">
        <v>8</v>
      </c>
      <c r="O80">
        <v>1.7</v>
      </c>
      <c r="P80">
        <v>1.6</v>
      </c>
      <c r="Q80">
        <v>5.6</v>
      </c>
      <c r="R80">
        <v>0.7</v>
      </c>
      <c r="S80">
        <v>1.3</v>
      </c>
      <c r="T80">
        <v>4</v>
      </c>
      <c r="U80" t="s">
        <v>8</v>
      </c>
      <c r="V80">
        <v>4.3</v>
      </c>
      <c r="W80">
        <v>2.7</v>
      </c>
      <c r="X80">
        <v>0.7</v>
      </c>
      <c r="Y80">
        <v>7</v>
      </c>
      <c r="Z80">
        <v>5.3</v>
      </c>
      <c r="AA80">
        <v>0</v>
      </c>
      <c r="AB80">
        <v>2</v>
      </c>
    </row>
    <row r="81" spans="1:28" x14ac:dyDescent="0.25">
      <c r="A81">
        <v>80</v>
      </c>
      <c r="B81" t="s">
        <v>487</v>
      </c>
      <c r="C81" t="s">
        <v>12</v>
      </c>
      <c r="E81">
        <v>2</v>
      </c>
      <c r="F81">
        <v>34.799999999999997</v>
      </c>
      <c r="K81">
        <v>-0.4</v>
      </c>
      <c r="L81">
        <v>2.7</v>
      </c>
      <c r="M81">
        <v>3.2</v>
      </c>
      <c r="N81">
        <v>-0.2</v>
      </c>
      <c r="O81">
        <v>0</v>
      </c>
      <c r="P81">
        <v>1.9</v>
      </c>
      <c r="Q81">
        <v>0</v>
      </c>
      <c r="R81">
        <v>0.8</v>
      </c>
      <c r="S81" t="s">
        <v>8</v>
      </c>
      <c r="T81">
        <v>6</v>
      </c>
      <c r="U81">
        <v>6.4</v>
      </c>
      <c r="V81">
        <v>7.1</v>
      </c>
      <c r="W81">
        <v>1.9</v>
      </c>
      <c r="X81">
        <v>4.8</v>
      </c>
      <c r="Y81">
        <v>0.5</v>
      </c>
      <c r="Z81">
        <v>0.2</v>
      </c>
      <c r="AA81">
        <v>0</v>
      </c>
      <c r="AB81">
        <v>-0.1</v>
      </c>
    </row>
    <row r="82" spans="1:28" x14ac:dyDescent="0.25">
      <c r="A82">
        <v>81</v>
      </c>
      <c r="B82" t="s">
        <v>87</v>
      </c>
      <c r="C82" t="s">
        <v>22</v>
      </c>
      <c r="E82">
        <v>3.6</v>
      </c>
      <c r="F82">
        <v>32.4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>
        <v>0</v>
      </c>
      <c r="R82" t="s">
        <v>8</v>
      </c>
      <c r="S82">
        <v>0</v>
      </c>
      <c r="T82">
        <v>0.2</v>
      </c>
      <c r="U82">
        <v>14.8</v>
      </c>
      <c r="V82">
        <v>1.9</v>
      </c>
      <c r="W82" t="s">
        <v>7</v>
      </c>
      <c r="X82">
        <v>4.0999999999999996</v>
      </c>
      <c r="Y82">
        <v>6.8</v>
      </c>
      <c r="Z82" t="s">
        <v>8</v>
      </c>
      <c r="AA82">
        <v>2.2000000000000002</v>
      </c>
      <c r="AB82">
        <v>2.4</v>
      </c>
    </row>
    <row r="83" spans="1:28" x14ac:dyDescent="0.25">
      <c r="A83">
        <v>82</v>
      </c>
      <c r="B83" t="s">
        <v>488</v>
      </c>
      <c r="C83" t="s">
        <v>90</v>
      </c>
      <c r="E83">
        <v>5.4</v>
      </c>
      <c r="F83">
        <v>32.200000000000003</v>
      </c>
      <c r="K83">
        <v>0.5</v>
      </c>
      <c r="L83">
        <v>15.4</v>
      </c>
      <c r="M83">
        <v>9.1999999999999993</v>
      </c>
      <c r="N83" t="s">
        <v>8</v>
      </c>
      <c r="O83" t="s">
        <v>8</v>
      </c>
      <c r="P83" t="s">
        <v>8</v>
      </c>
      <c r="Q83" t="s">
        <v>8</v>
      </c>
      <c r="R83" t="s">
        <v>8</v>
      </c>
      <c r="S83">
        <v>2.7</v>
      </c>
      <c r="T83">
        <v>1.3</v>
      </c>
      <c r="U83">
        <v>3.1</v>
      </c>
      <c r="V83" t="s">
        <v>8</v>
      </c>
      <c r="W83" t="s">
        <v>8</v>
      </c>
      <c r="X83" t="s">
        <v>8</v>
      </c>
      <c r="Y83" t="s">
        <v>8</v>
      </c>
      <c r="Z83" t="s">
        <v>8</v>
      </c>
      <c r="AA83" t="s">
        <v>8</v>
      </c>
      <c r="AB83" t="s">
        <v>8</v>
      </c>
    </row>
    <row r="84" spans="1:28" x14ac:dyDescent="0.25">
      <c r="A84">
        <v>83</v>
      </c>
      <c r="B84" t="s">
        <v>491</v>
      </c>
      <c r="C84" t="s">
        <v>76</v>
      </c>
      <c r="E84">
        <v>2.7</v>
      </c>
      <c r="F84">
        <v>30</v>
      </c>
      <c r="K84">
        <v>2.2000000000000002</v>
      </c>
      <c r="L84">
        <v>0.1</v>
      </c>
      <c r="M84">
        <v>5.9</v>
      </c>
      <c r="N84" t="s">
        <v>8</v>
      </c>
      <c r="O84">
        <v>2.7</v>
      </c>
      <c r="P84" t="s">
        <v>8</v>
      </c>
      <c r="Q84" t="s">
        <v>8</v>
      </c>
      <c r="R84" t="s">
        <v>8</v>
      </c>
      <c r="S84" t="s">
        <v>7</v>
      </c>
      <c r="T84" t="s">
        <v>8</v>
      </c>
      <c r="U84" t="s">
        <v>8</v>
      </c>
      <c r="V84">
        <v>2.5</v>
      </c>
      <c r="W84">
        <v>2.9</v>
      </c>
      <c r="X84">
        <v>7.2</v>
      </c>
      <c r="Y84">
        <v>2.2000000000000002</v>
      </c>
      <c r="Z84">
        <v>1.3</v>
      </c>
      <c r="AA84">
        <v>3</v>
      </c>
      <c r="AB84">
        <v>0</v>
      </c>
    </row>
    <row r="85" spans="1:28" x14ac:dyDescent="0.25">
      <c r="A85">
        <v>83</v>
      </c>
      <c r="B85" t="s">
        <v>490</v>
      </c>
      <c r="C85" t="s">
        <v>22</v>
      </c>
      <c r="E85">
        <v>5</v>
      </c>
      <c r="F85">
        <v>30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>
        <v>4.4000000000000004</v>
      </c>
      <c r="Q85">
        <v>6.4</v>
      </c>
      <c r="R85">
        <v>13</v>
      </c>
      <c r="S85">
        <v>4.0999999999999996</v>
      </c>
      <c r="T85">
        <v>0.5</v>
      </c>
      <c r="U85" t="s">
        <v>8</v>
      </c>
      <c r="V85">
        <v>1.6</v>
      </c>
      <c r="W85" t="s">
        <v>7</v>
      </c>
      <c r="X85" t="s">
        <v>8</v>
      </c>
      <c r="Y85" t="s">
        <v>8</v>
      </c>
      <c r="Z85" t="s">
        <v>8</v>
      </c>
      <c r="AA85" t="s">
        <v>8</v>
      </c>
      <c r="AB85" t="s">
        <v>8</v>
      </c>
    </row>
    <row r="86" spans="1:28" x14ac:dyDescent="0.25">
      <c r="A86">
        <v>85</v>
      </c>
      <c r="B86" t="s">
        <v>489</v>
      </c>
      <c r="C86" t="s">
        <v>10</v>
      </c>
      <c r="E86">
        <v>2</v>
      </c>
      <c r="F86">
        <v>29.6</v>
      </c>
      <c r="K86" t="s">
        <v>8</v>
      </c>
      <c r="L86">
        <v>1.5</v>
      </c>
      <c r="M86">
        <v>1.5</v>
      </c>
      <c r="N86">
        <v>0</v>
      </c>
      <c r="O86">
        <v>11.2</v>
      </c>
      <c r="P86">
        <v>6.3</v>
      </c>
      <c r="Q86">
        <v>3.5</v>
      </c>
      <c r="R86">
        <v>7.6</v>
      </c>
      <c r="S86" t="s">
        <v>7</v>
      </c>
      <c r="T86">
        <v>0</v>
      </c>
      <c r="U86">
        <v>-2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8</v>
      </c>
      <c r="AB86">
        <v>0</v>
      </c>
    </row>
    <row r="87" spans="1:28" x14ac:dyDescent="0.25">
      <c r="A87">
        <v>86</v>
      </c>
      <c r="B87" t="s">
        <v>493</v>
      </c>
      <c r="C87" t="s">
        <v>18</v>
      </c>
      <c r="E87">
        <v>1.5</v>
      </c>
      <c r="F87">
        <v>24.9</v>
      </c>
      <c r="K87">
        <v>5.4</v>
      </c>
      <c r="L87">
        <v>0</v>
      </c>
      <c r="M87">
        <v>0</v>
      </c>
      <c r="N87">
        <v>3.3</v>
      </c>
      <c r="O87">
        <v>0</v>
      </c>
      <c r="P87">
        <v>0</v>
      </c>
      <c r="Q87">
        <v>0</v>
      </c>
      <c r="R87">
        <v>1.5</v>
      </c>
      <c r="S87">
        <v>1.1000000000000001</v>
      </c>
      <c r="T87" t="s">
        <v>7</v>
      </c>
      <c r="U87">
        <v>4.5999999999999996</v>
      </c>
      <c r="V87">
        <v>0</v>
      </c>
      <c r="W87">
        <v>0.7</v>
      </c>
      <c r="X87">
        <v>2.2999999999999998</v>
      </c>
      <c r="Y87">
        <v>0</v>
      </c>
      <c r="Z87">
        <v>3.2</v>
      </c>
      <c r="AA87">
        <v>2.8</v>
      </c>
      <c r="AB87">
        <v>0</v>
      </c>
    </row>
    <row r="88" spans="1:28" x14ac:dyDescent="0.25">
      <c r="A88">
        <v>87</v>
      </c>
      <c r="B88" t="s">
        <v>98</v>
      </c>
      <c r="C88" t="s">
        <v>32</v>
      </c>
      <c r="E88">
        <v>11.6</v>
      </c>
      <c r="F88">
        <v>23.1</v>
      </c>
      <c r="K88">
        <v>16.7</v>
      </c>
      <c r="L88">
        <v>6.4</v>
      </c>
      <c r="M88" t="s">
        <v>8</v>
      </c>
      <c r="N88" t="s">
        <v>8</v>
      </c>
      <c r="O88" t="s">
        <v>8</v>
      </c>
      <c r="P88" t="s">
        <v>8</v>
      </c>
      <c r="Q88" t="s">
        <v>7</v>
      </c>
      <c r="R88" t="s">
        <v>8</v>
      </c>
      <c r="S88" t="s">
        <v>8</v>
      </c>
      <c r="T88" t="s">
        <v>8</v>
      </c>
      <c r="U88" t="s">
        <v>8</v>
      </c>
      <c r="V88" t="s">
        <v>8</v>
      </c>
      <c r="W88" t="s">
        <v>8</v>
      </c>
      <c r="X88" t="s">
        <v>8</v>
      </c>
      <c r="Y88" t="s">
        <v>8</v>
      </c>
      <c r="Z88" t="s">
        <v>8</v>
      </c>
      <c r="AA88" t="s">
        <v>8</v>
      </c>
      <c r="AB88" t="s">
        <v>8</v>
      </c>
    </row>
    <row r="89" spans="1:28" x14ac:dyDescent="0.25">
      <c r="A89">
        <v>88</v>
      </c>
      <c r="B89" t="s">
        <v>65</v>
      </c>
      <c r="C89" t="s">
        <v>66</v>
      </c>
      <c r="E89">
        <v>1.4</v>
      </c>
      <c r="F89">
        <v>22.8</v>
      </c>
      <c r="K89">
        <v>5.3</v>
      </c>
      <c r="L89">
        <v>0</v>
      </c>
      <c r="M89">
        <v>7</v>
      </c>
      <c r="N89">
        <v>1</v>
      </c>
      <c r="O89">
        <v>0.8</v>
      </c>
      <c r="P89">
        <v>1.8</v>
      </c>
      <c r="Q89">
        <v>0.2</v>
      </c>
      <c r="R89">
        <v>-1.1000000000000001</v>
      </c>
      <c r="S89" t="s">
        <v>7</v>
      </c>
      <c r="T89">
        <v>0.5</v>
      </c>
      <c r="U89">
        <v>2.1</v>
      </c>
      <c r="V89">
        <v>0.6</v>
      </c>
      <c r="W89">
        <v>0</v>
      </c>
      <c r="X89">
        <v>0</v>
      </c>
      <c r="Y89">
        <v>-0.2</v>
      </c>
      <c r="Z89" t="s">
        <v>8</v>
      </c>
      <c r="AA89">
        <v>3.2</v>
      </c>
      <c r="AB89">
        <v>1.6</v>
      </c>
    </row>
    <row r="90" spans="1:28" x14ac:dyDescent="0.25">
      <c r="A90">
        <v>89</v>
      </c>
      <c r="B90" t="s">
        <v>492</v>
      </c>
      <c r="C90" t="s">
        <v>90</v>
      </c>
      <c r="E90">
        <v>5.3</v>
      </c>
      <c r="F90">
        <v>21.3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 t="s">
        <v>8</v>
      </c>
      <c r="Q90" t="s">
        <v>8</v>
      </c>
      <c r="R90" t="s">
        <v>8</v>
      </c>
      <c r="S90" t="s">
        <v>8</v>
      </c>
      <c r="T90" t="s">
        <v>8</v>
      </c>
      <c r="U90" t="s">
        <v>8</v>
      </c>
      <c r="V90" t="s">
        <v>8</v>
      </c>
      <c r="W90" t="s">
        <v>8</v>
      </c>
      <c r="X90" t="s">
        <v>8</v>
      </c>
      <c r="Y90">
        <v>8.5</v>
      </c>
      <c r="Z90">
        <v>2.1</v>
      </c>
      <c r="AA90">
        <v>8.9</v>
      </c>
      <c r="AB90">
        <v>1.8</v>
      </c>
    </row>
    <row r="91" spans="1:28" x14ac:dyDescent="0.25">
      <c r="A91">
        <v>90</v>
      </c>
      <c r="B91" t="s">
        <v>107</v>
      </c>
      <c r="C91" t="s">
        <v>78</v>
      </c>
      <c r="E91">
        <v>1.7</v>
      </c>
      <c r="F91">
        <v>20.3</v>
      </c>
      <c r="K91" t="s">
        <v>8</v>
      </c>
      <c r="L91" t="s">
        <v>8</v>
      </c>
      <c r="M91">
        <v>3.1</v>
      </c>
      <c r="N91">
        <v>0.7</v>
      </c>
      <c r="O91">
        <v>0</v>
      </c>
      <c r="P91">
        <v>0</v>
      </c>
      <c r="Q91" t="s">
        <v>8</v>
      </c>
      <c r="R91" t="s">
        <v>8</v>
      </c>
      <c r="S91">
        <v>0</v>
      </c>
      <c r="T91">
        <v>0</v>
      </c>
      <c r="U91" t="s">
        <v>8</v>
      </c>
      <c r="V91">
        <v>0</v>
      </c>
      <c r="W91">
        <v>0</v>
      </c>
      <c r="X91">
        <v>1.3</v>
      </c>
      <c r="Y91">
        <v>8.8000000000000007</v>
      </c>
      <c r="Z91">
        <v>0.3</v>
      </c>
      <c r="AA91">
        <v>6.1</v>
      </c>
      <c r="AB91" t="s">
        <v>8</v>
      </c>
    </row>
    <row r="92" spans="1:28" x14ac:dyDescent="0.25">
      <c r="A92">
        <v>91</v>
      </c>
      <c r="B92" t="s">
        <v>496</v>
      </c>
      <c r="C92" t="s">
        <v>20</v>
      </c>
      <c r="E92">
        <v>2.2000000000000002</v>
      </c>
      <c r="F92">
        <v>20.100000000000001</v>
      </c>
      <c r="K92">
        <v>0</v>
      </c>
      <c r="L92">
        <v>1.4</v>
      </c>
      <c r="M92">
        <v>0</v>
      </c>
      <c r="N92">
        <v>7.7</v>
      </c>
      <c r="O92">
        <v>0.1</v>
      </c>
      <c r="P92">
        <v>2.2999999999999998</v>
      </c>
      <c r="Q92" t="s">
        <v>8</v>
      </c>
      <c r="R92" t="s">
        <v>8</v>
      </c>
      <c r="S92" t="s">
        <v>8</v>
      </c>
      <c r="T92" t="s">
        <v>7</v>
      </c>
      <c r="U92" t="s">
        <v>8</v>
      </c>
      <c r="V92" t="s">
        <v>8</v>
      </c>
      <c r="W92" t="s">
        <v>8</v>
      </c>
      <c r="X92" t="s">
        <v>8</v>
      </c>
      <c r="Y92" t="s">
        <v>8</v>
      </c>
      <c r="Z92">
        <v>2</v>
      </c>
      <c r="AA92">
        <v>1.4</v>
      </c>
      <c r="AB92">
        <v>5.2</v>
      </c>
    </row>
    <row r="93" spans="1:28" x14ac:dyDescent="0.25">
      <c r="A93">
        <v>92</v>
      </c>
      <c r="B93" t="s">
        <v>494</v>
      </c>
      <c r="C93" t="s">
        <v>90</v>
      </c>
      <c r="E93">
        <v>4.9000000000000004</v>
      </c>
      <c r="F93">
        <v>19.7</v>
      </c>
      <c r="K93" t="s">
        <v>8</v>
      </c>
      <c r="L93" t="s">
        <v>8</v>
      </c>
      <c r="M93">
        <v>7.5</v>
      </c>
      <c r="N93">
        <v>5.4</v>
      </c>
      <c r="O93" t="s">
        <v>8</v>
      </c>
      <c r="P93" t="s">
        <v>8</v>
      </c>
      <c r="Q93" t="s">
        <v>8</v>
      </c>
      <c r="R93" t="s">
        <v>8</v>
      </c>
      <c r="S93" t="s">
        <v>8</v>
      </c>
      <c r="T93" t="s">
        <v>8</v>
      </c>
      <c r="U93" t="s">
        <v>8</v>
      </c>
      <c r="V93" t="s">
        <v>8</v>
      </c>
      <c r="W93" t="s">
        <v>8</v>
      </c>
      <c r="X93" t="s">
        <v>8</v>
      </c>
      <c r="Y93" t="s">
        <v>8</v>
      </c>
      <c r="Z93" t="s">
        <v>8</v>
      </c>
      <c r="AA93">
        <v>7</v>
      </c>
      <c r="AB93">
        <v>-0.2</v>
      </c>
    </row>
    <row r="94" spans="1:28" x14ac:dyDescent="0.25">
      <c r="A94">
        <v>93</v>
      </c>
      <c r="B94" t="s">
        <v>495</v>
      </c>
      <c r="C94" t="s">
        <v>90</v>
      </c>
      <c r="E94">
        <v>2.7</v>
      </c>
      <c r="F94">
        <v>19</v>
      </c>
      <c r="K94">
        <v>3.9</v>
      </c>
      <c r="L94">
        <v>9.3000000000000007</v>
      </c>
      <c r="M94">
        <v>1.5</v>
      </c>
      <c r="N94">
        <v>2.9</v>
      </c>
      <c r="O94">
        <v>1.3</v>
      </c>
      <c r="P94">
        <v>0.1</v>
      </c>
      <c r="Q94" t="s">
        <v>8</v>
      </c>
      <c r="R94" t="s">
        <v>8</v>
      </c>
      <c r="S94" t="s">
        <v>8</v>
      </c>
      <c r="T94" t="s">
        <v>8</v>
      </c>
      <c r="U94" t="s">
        <v>8</v>
      </c>
      <c r="V94" t="s">
        <v>8</v>
      </c>
      <c r="W94" t="s">
        <v>8</v>
      </c>
      <c r="X94" t="s">
        <v>8</v>
      </c>
      <c r="Y94" t="s">
        <v>8</v>
      </c>
      <c r="Z94">
        <v>0</v>
      </c>
      <c r="AA94" t="s">
        <v>8</v>
      </c>
      <c r="AB94" t="s">
        <v>8</v>
      </c>
    </row>
    <row r="95" spans="1:28" x14ac:dyDescent="0.25">
      <c r="A95">
        <v>93</v>
      </c>
      <c r="B95" t="s">
        <v>497</v>
      </c>
      <c r="C95" t="s">
        <v>90</v>
      </c>
      <c r="E95">
        <v>2.1</v>
      </c>
      <c r="F95">
        <v>19</v>
      </c>
      <c r="K95" t="s">
        <v>8</v>
      </c>
      <c r="L95">
        <v>0.3</v>
      </c>
      <c r="M95">
        <v>0.7</v>
      </c>
      <c r="N95">
        <v>4.7</v>
      </c>
      <c r="O95" t="s">
        <v>8</v>
      </c>
      <c r="P95">
        <v>0.2</v>
      </c>
      <c r="Q95" t="s">
        <v>8</v>
      </c>
      <c r="R95">
        <v>1.8</v>
      </c>
      <c r="S95" t="s">
        <v>8</v>
      </c>
      <c r="T95" t="s">
        <v>8</v>
      </c>
      <c r="U95" t="s">
        <v>8</v>
      </c>
      <c r="V95" t="s">
        <v>8</v>
      </c>
      <c r="W95" t="s">
        <v>8</v>
      </c>
      <c r="X95">
        <v>1.9</v>
      </c>
      <c r="Y95">
        <v>5</v>
      </c>
      <c r="Z95">
        <v>1.5</v>
      </c>
      <c r="AA95">
        <v>2.9</v>
      </c>
      <c r="AB95" t="s">
        <v>8</v>
      </c>
    </row>
    <row r="96" spans="1:28" x14ac:dyDescent="0.25">
      <c r="A96">
        <v>95</v>
      </c>
      <c r="B96" t="s">
        <v>498</v>
      </c>
      <c r="C96" t="s">
        <v>24</v>
      </c>
      <c r="E96">
        <v>3</v>
      </c>
      <c r="F96">
        <v>18.100000000000001</v>
      </c>
      <c r="K96" t="s">
        <v>8</v>
      </c>
      <c r="L96" t="s">
        <v>8</v>
      </c>
      <c r="M96" t="s">
        <v>8</v>
      </c>
      <c r="N96" t="s">
        <v>8</v>
      </c>
      <c r="O96" t="s">
        <v>8</v>
      </c>
      <c r="P96" t="s">
        <v>8</v>
      </c>
      <c r="Q96" t="s">
        <v>8</v>
      </c>
      <c r="R96" t="s">
        <v>8</v>
      </c>
      <c r="S96" t="s">
        <v>8</v>
      </c>
      <c r="T96" t="s">
        <v>8</v>
      </c>
      <c r="U96" t="s">
        <v>7</v>
      </c>
      <c r="V96" t="s">
        <v>8</v>
      </c>
      <c r="W96">
        <v>3.1</v>
      </c>
      <c r="X96">
        <v>0.8</v>
      </c>
      <c r="Y96">
        <v>9.9</v>
      </c>
      <c r="Z96">
        <v>4</v>
      </c>
      <c r="AA96">
        <v>0.3</v>
      </c>
      <c r="AB96">
        <v>0</v>
      </c>
    </row>
    <row r="97" spans="1:28" x14ac:dyDescent="0.25">
      <c r="A97">
        <v>96</v>
      </c>
      <c r="B97" t="s">
        <v>499</v>
      </c>
      <c r="C97" t="s">
        <v>36</v>
      </c>
      <c r="E97">
        <v>1.6</v>
      </c>
      <c r="F97">
        <v>17.100000000000001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>
        <v>3.2</v>
      </c>
      <c r="Q97" t="s">
        <v>7</v>
      </c>
      <c r="R97">
        <v>5.0999999999999996</v>
      </c>
      <c r="S97">
        <v>1.5</v>
      </c>
      <c r="T97">
        <v>2.2999999999999998</v>
      </c>
      <c r="U97">
        <v>0</v>
      </c>
      <c r="V97" t="s">
        <v>8</v>
      </c>
      <c r="W97">
        <v>0.6</v>
      </c>
      <c r="X97">
        <v>1.8</v>
      </c>
      <c r="Y97">
        <v>0</v>
      </c>
      <c r="Z97">
        <v>2</v>
      </c>
      <c r="AA97">
        <v>0</v>
      </c>
      <c r="AB97">
        <v>0.6</v>
      </c>
    </row>
    <row r="98" spans="1:28" x14ac:dyDescent="0.25">
      <c r="A98">
        <v>97</v>
      </c>
      <c r="B98" t="s">
        <v>502</v>
      </c>
      <c r="C98" t="s">
        <v>16</v>
      </c>
      <c r="E98">
        <v>2.2999999999999998</v>
      </c>
      <c r="F98">
        <v>16.3</v>
      </c>
      <c r="K98" t="s">
        <v>8</v>
      </c>
      <c r="L98" t="s">
        <v>8</v>
      </c>
      <c r="M98" t="s">
        <v>8</v>
      </c>
      <c r="N98" t="s">
        <v>8</v>
      </c>
      <c r="O98" t="s">
        <v>8</v>
      </c>
      <c r="P98" t="s">
        <v>7</v>
      </c>
      <c r="Q98" t="s">
        <v>8</v>
      </c>
      <c r="R98" t="s">
        <v>8</v>
      </c>
      <c r="S98" t="s">
        <v>8</v>
      </c>
      <c r="T98" t="s">
        <v>8</v>
      </c>
      <c r="U98">
        <v>2.6</v>
      </c>
      <c r="V98">
        <v>0</v>
      </c>
      <c r="W98" t="s">
        <v>8</v>
      </c>
      <c r="X98">
        <v>-0.1</v>
      </c>
      <c r="Y98">
        <v>3.9</v>
      </c>
      <c r="Z98">
        <v>4.3</v>
      </c>
      <c r="AA98">
        <v>5</v>
      </c>
      <c r="AB98">
        <v>0.6</v>
      </c>
    </row>
    <row r="99" spans="1:28" x14ac:dyDescent="0.25">
      <c r="A99">
        <v>98</v>
      </c>
      <c r="B99" t="s">
        <v>501</v>
      </c>
      <c r="C99" t="s">
        <v>12</v>
      </c>
      <c r="E99">
        <v>1</v>
      </c>
      <c r="F99">
        <v>16.2</v>
      </c>
      <c r="K99">
        <v>0</v>
      </c>
      <c r="L99">
        <v>0</v>
      </c>
      <c r="M99">
        <v>0</v>
      </c>
      <c r="N99">
        <v>2.4</v>
      </c>
      <c r="O99">
        <v>0</v>
      </c>
      <c r="P99">
        <v>1.3</v>
      </c>
      <c r="Q99">
        <v>5.0999999999999996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7</v>
      </c>
      <c r="X99">
        <v>0</v>
      </c>
      <c r="Y99">
        <v>0</v>
      </c>
      <c r="Z99">
        <v>0</v>
      </c>
      <c r="AA99">
        <v>7.4</v>
      </c>
      <c r="AB99">
        <v>0</v>
      </c>
    </row>
    <row r="100" spans="1:28" x14ac:dyDescent="0.25">
      <c r="A100">
        <v>99</v>
      </c>
      <c r="B100" t="s">
        <v>500</v>
      </c>
      <c r="C100" t="s">
        <v>90</v>
      </c>
      <c r="E100">
        <v>1.3</v>
      </c>
      <c r="F100">
        <v>15.8</v>
      </c>
      <c r="K100">
        <v>2</v>
      </c>
      <c r="L100">
        <v>4</v>
      </c>
      <c r="M100" t="s">
        <v>8</v>
      </c>
      <c r="N100" t="s">
        <v>8</v>
      </c>
      <c r="O100" t="s">
        <v>8</v>
      </c>
      <c r="P100">
        <v>2.6</v>
      </c>
      <c r="Q100">
        <v>0</v>
      </c>
      <c r="R100">
        <v>1.4</v>
      </c>
      <c r="S100" t="s">
        <v>8</v>
      </c>
      <c r="T100" t="s">
        <v>8</v>
      </c>
      <c r="U100">
        <v>0.8</v>
      </c>
      <c r="V100">
        <v>1.4</v>
      </c>
      <c r="W100">
        <v>3.9</v>
      </c>
      <c r="X100">
        <v>0.9</v>
      </c>
      <c r="Y100">
        <v>0</v>
      </c>
      <c r="Z100">
        <v>-1.7</v>
      </c>
      <c r="AA100" t="s">
        <v>8</v>
      </c>
      <c r="AB100">
        <v>0.5</v>
      </c>
    </row>
    <row r="101" spans="1:28" x14ac:dyDescent="0.25">
      <c r="A101">
        <v>100</v>
      </c>
      <c r="B101" t="s">
        <v>505</v>
      </c>
      <c r="C101" t="s">
        <v>64</v>
      </c>
      <c r="E101">
        <v>2.1</v>
      </c>
      <c r="F101">
        <v>15</v>
      </c>
      <c r="K101">
        <v>0.8</v>
      </c>
      <c r="L101">
        <v>6.2</v>
      </c>
      <c r="M101" t="s">
        <v>8</v>
      </c>
      <c r="N101">
        <v>2.1</v>
      </c>
      <c r="O101">
        <v>1.8</v>
      </c>
      <c r="P101" t="s">
        <v>8</v>
      </c>
      <c r="Q101" t="s">
        <v>7</v>
      </c>
      <c r="R101">
        <v>0</v>
      </c>
      <c r="S101" t="s">
        <v>8</v>
      </c>
      <c r="T101">
        <v>1.9</v>
      </c>
      <c r="U101" t="s">
        <v>8</v>
      </c>
      <c r="V101" t="s">
        <v>8</v>
      </c>
      <c r="W101" t="s">
        <v>8</v>
      </c>
      <c r="X101" t="s">
        <v>8</v>
      </c>
      <c r="Y101" t="s">
        <v>8</v>
      </c>
      <c r="Z101" t="s">
        <v>8</v>
      </c>
      <c r="AA101">
        <v>2.2000000000000002</v>
      </c>
      <c r="AB101" t="s">
        <v>8</v>
      </c>
    </row>
    <row r="102" spans="1:28" x14ac:dyDescent="0.25">
      <c r="A102">
        <v>101</v>
      </c>
      <c r="B102" t="s">
        <v>506</v>
      </c>
      <c r="C102" t="s">
        <v>90</v>
      </c>
      <c r="E102">
        <v>0.9</v>
      </c>
      <c r="F102">
        <v>14.9</v>
      </c>
      <c r="K102">
        <v>0.7</v>
      </c>
      <c r="L102">
        <v>2.4</v>
      </c>
      <c r="M102">
        <v>0.4</v>
      </c>
      <c r="N102">
        <v>0.4</v>
      </c>
      <c r="O102">
        <v>0.5</v>
      </c>
      <c r="P102">
        <v>2.2999999999999998</v>
      </c>
      <c r="Q102" t="s">
        <v>8</v>
      </c>
      <c r="R102">
        <v>0.6</v>
      </c>
      <c r="S102">
        <v>1.3</v>
      </c>
      <c r="T102">
        <v>1.2</v>
      </c>
      <c r="U102">
        <v>2</v>
      </c>
      <c r="V102">
        <v>0</v>
      </c>
      <c r="W102">
        <v>0</v>
      </c>
      <c r="X102">
        <v>0.9</v>
      </c>
      <c r="Y102">
        <v>2.2000000000000002</v>
      </c>
      <c r="Z102">
        <v>0</v>
      </c>
      <c r="AA102">
        <v>0.2</v>
      </c>
      <c r="AB102">
        <v>-0.2</v>
      </c>
    </row>
    <row r="103" spans="1:28" x14ac:dyDescent="0.25">
      <c r="A103">
        <v>102</v>
      </c>
      <c r="B103" t="s">
        <v>82</v>
      </c>
      <c r="C103" t="s">
        <v>16</v>
      </c>
      <c r="E103">
        <v>2.1</v>
      </c>
      <c r="F103">
        <v>14.8</v>
      </c>
      <c r="K103" t="s">
        <v>8</v>
      </c>
      <c r="L103">
        <v>0.5</v>
      </c>
      <c r="M103">
        <v>2.2000000000000002</v>
      </c>
      <c r="N103" t="s">
        <v>8</v>
      </c>
      <c r="O103">
        <v>0</v>
      </c>
      <c r="P103" t="s">
        <v>7</v>
      </c>
      <c r="Q103">
        <v>4.7</v>
      </c>
      <c r="R103" t="s">
        <v>8</v>
      </c>
      <c r="S103">
        <v>4.3</v>
      </c>
      <c r="T103">
        <v>0</v>
      </c>
      <c r="U103">
        <v>3.1</v>
      </c>
      <c r="V103" t="s">
        <v>8</v>
      </c>
      <c r="W103" t="s">
        <v>8</v>
      </c>
      <c r="X103" t="s">
        <v>8</v>
      </c>
      <c r="Y103" t="s">
        <v>8</v>
      </c>
      <c r="Z103" t="s">
        <v>8</v>
      </c>
      <c r="AA103" t="s">
        <v>8</v>
      </c>
      <c r="AB103" t="s">
        <v>8</v>
      </c>
    </row>
    <row r="104" spans="1:28" x14ac:dyDescent="0.25">
      <c r="A104">
        <v>103</v>
      </c>
      <c r="B104" t="s">
        <v>503</v>
      </c>
      <c r="C104" t="s">
        <v>90</v>
      </c>
      <c r="E104">
        <v>2.8</v>
      </c>
      <c r="F104">
        <v>14</v>
      </c>
      <c r="K104" t="s">
        <v>8</v>
      </c>
      <c r="L104" t="s">
        <v>8</v>
      </c>
      <c r="M104" t="s">
        <v>8</v>
      </c>
      <c r="N104" t="s">
        <v>8</v>
      </c>
      <c r="O104" t="s">
        <v>8</v>
      </c>
      <c r="P104" t="s">
        <v>8</v>
      </c>
      <c r="Q104" t="s">
        <v>8</v>
      </c>
      <c r="R104" t="s">
        <v>8</v>
      </c>
      <c r="S104">
        <v>0.1</v>
      </c>
      <c r="T104" t="s">
        <v>8</v>
      </c>
      <c r="U104" t="s">
        <v>8</v>
      </c>
      <c r="V104">
        <v>0</v>
      </c>
      <c r="W104" t="s">
        <v>8</v>
      </c>
      <c r="X104" t="s">
        <v>8</v>
      </c>
      <c r="Y104" t="s">
        <v>8</v>
      </c>
      <c r="Z104">
        <v>0</v>
      </c>
      <c r="AA104">
        <v>0</v>
      </c>
      <c r="AB104">
        <v>13.9</v>
      </c>
    </row>
    <row r="105" spans="1:28" x14ac:dyDescent="0.25">
      <c r="A105">
        <v>104</v>
      </c>
      <c r="B105" t="s">
        <v>504</v>
      </c>
      <c r="C105" t="s">
        <v>62</v>
      </c>
      <c r="E105">
        <v>2</v>
      </c>
      <c r="F105">
        <v>14</v>
      </c>
      <c r="K105">
        <v>-0.4</v>
      </c>
      <c r="L105">
        <v>0.6</v>
      </c>
      <c r="M105">
        <v>3.1</v>
      </c>
      <c r="N105" t="s">
        <v>8</v>
      </c>
      <c r="O105" t="s">
        <v>8</v>
      </c>
      <c r="P105">
        <v>7.1</v>
      </c>
      <c r="Q105" t="s">
        <v>8</v>
      </c>
      <c r="R105">
        <v>2.6</v>
      </c>
      <c r="S105">
        <v>0.8</v>
      </c>
      <c r="T105">
        <v>0.2</v>
      </c>
      <c r="U105" t="s">
        <v>8</v>
      </c>
      <c r="V105" t="s">
        <v>8</v>
      </c>
      <c r="W105" t="s">
        <v>8</v>
      </c>
      <c r="X105" t="s">
        <v>8</v>
      </c>
      <c r="Y105" t="s">
        <v>8</v>
      </c>
      <c r="Z105" t="s">
        <v>8</v>
      </c>
      <c r="AA105" t="s">
        <v>8</v>
      </c>
      <c r="AB105" t="s">
        <v>8</v>
      </c>
    </row>
    <row r="106" spans="1:28" x14ac:dyDescent="0.25">
      <c r="A106">
        <v>105</v>
      </c>
      <c r="B106" t="s">
        <v>512</v>
      </c>
      <c r="C106" t="s">
        <v>90</v>
      </c>
      <c r="E106">
        <v>1.5</v>
      </c>
      <c r="F106">
        <v>13.3</v>
      </c>
      <c r="K106">
        <v>4.8</v>
      </c>
      <c r="L106" t="s">
        <v>8</v>
      </c>
      <c r="M106">
        <v>0</v>
      </c>
      <c r="N106">
        <v>0.4</v>
      </c>
      <c r="O106">
        <v>0</v>
      </c>
      <c r="P106">
        <v>1.1000000000000001</v>
      </c>
      <c r="Q106" t="s">
        <v>8</v>
      </c>
      <c r="R106">
        <v>2.6</v>
      </c>
      <c r="S106">
        <v>0.3</v>
      </c>
      <c r="T106">
        <v>2.6</v>
      </c>
      <c r="U106">
        <v>1.5</v>
      </c>
      <c r="V106" t="s">
        <v>8</v>
      </c>
      <c r="W106" t="s">
        <v>8</v>
      </c>
      <c r="X106" t="s">
        <v>8</v>
      </c>
      <c r="Y106" t="s">
        <v>8</v>
      </c>
      <c r="Z106" t="s">
        <v>8</v>
      </c>
      <c r="AA106" t="s">
        <v>8</v>
      </c>
      <c r="AB106" t="s">
        <v>8</v>
      </c>
    </row>
    <row r="107" spans="1:28" x14ac:dyDescent="0.25">
      <c r="A107">
        <v>106</v>
      </c>
      <c r="B107" t="s">
        <v>511</v>
      </c>
      <c r="C107" t="s">
        <v>55</v>
      </c>
      <c r="E107">
        <v>0.9</v>
      </c>
      <c r="F107">
        <v>13</v>
      </c>
      <c r="K107">
        <v>0</v>
      </c>
      <c r="L107">
        <v>0</v>
      </c>
      <c r="M107">
        <v>0</v>
      </c>
      <c r="N107">
        <v>0</v>
      </c>
      <c r="O107">
        <v>3.6</v>
      </c>
      <c r="P107">
        <v>0.2</v>
      </c>
      <c r="Q107">
        <v>0</v>
      </c>
      <c r="R107" t="s">
        <v>8</v>
      </c>
      <c r="S107" t="s">
        <v>8</v>
      </c>
      <c r="T107" t="s">
        <v>8</v>
      </c>
      <c r="U107">
        <v>0</v>
      </c>
      <c r="V107">
        <v>0</v>
      </c>
      <c r="W107" t="s">
        <v>7</v>
      </c>
      <c r="X107">
        <v>0</v>
      </c>
      <c r="Y107">
        <v>3.6</v>
      </c>
      <c r="Z107">
        <v>0</v>
      </c>
      <c r="AA107">
        <v>1.8</v>
      </c>
      <c r="AB107">
        <v>3.8</v>
      </c>
    </row>
    <row r="108" spans="1:28" x14ac:dyDescent="0.25">
      <c r="A108">
        <v>107</v>
      </c>
      <c r="B108" t="s">
        <v>507</v>
      </c>
      <c r="C108" t="s">
        <v>64</v>
      </c>
      <c r="E108">
        <v>0.7</v>
      </c>
      <c r="F108">
        <v>12.7</v>
      </c>
      <c r="K108">
        <v>0</v>
      </c>
      <c r="L108">
        <v>0</v>
      </c>
      <c r="M108">
        <v>3.1</v>
      </c>
      <c r="N108">
        <v>6.4</v>
      </c>
      <c r="O108">
        <v>0</v>
      </c>
      <c r="P108">
        <v>0</v>
      </c>
      <c r="Q108" t="s">
        <v>7</v>
      </c>
      <c r="R108">
        <v>0.8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0.3</v>
      </c>
      <c r="Z108">
        <v>2.1</v>
      </c>
      <c r="AA108">
        <v>0</v>
      </c>
      <c r="AB108">
        <v>0</v>
      </c>
    </row>
    <row r="109" spans="1:28" x14ac:dyDescent="0.25">
      <c r="A109">
        <v>108</v>
      </c>
      <c r="B109" t="s">
        <v>49</v>
      </c>
      <c r="C109" t="s">
        <v>50</v>
      </c>
      <c r="E109">
        <v>11.7</v>
      </c>
      <c r="F109">
        <v>11.7</v>
      </c>
      <c r="K109">
        <v>11.7</v>
      </c>
      <c r="L109" t="s">
        <v>8</v>
      </c>
      <c r="M109" t="s">
        <v>8</v>
      </c>
      <c r="N109" t="s">
        <v>8</v>
      </c>
      <c r="O109" t="s">
        <v>8</v>
      </c>
      <c r="P109" t="s">
        <v>8</v>
      </c>
      <c r="Q109" t="s">
        <v>8</v>
      </c>
      <c r="R109" t="s">
        <v>8</v>
      </c>
      <c r="S109" t="s">
        <v>7</v>
      </c>
      <c r="T109" t="s">
        <v>8</v>
      </c>
      <c r="U109" t="s">
        <v>8</v>
      </c>
      <c r="V109" t="s">
        <v>8</v>
      </c>
      <c r="W109" t="s">
        <v>8</v>
      </c>
      <c r="X109" t="s">
        <v>8</v>
      </c>
      <c r="Y109" t="s">
        <v>8</v>
      </c>
      <c r="Z109" t="s">
        <v>8</v>
      </c>
      <c r="AA109" t="s">
        <v>8</v>
      </c>
      <c r="AB109" t="s">
        <v>8</v>
      </c>
    </row>
    <row r="110" spans="1:28" x14ac:dyDescent="0.25">
      <c r="A110">
        <v>109</v>
      </c>
      <c r="B110" t="s">
        <v>513</v>
      </c>
      <c r="C110" t="s">
        <v>30</v>
      </c>
      <c r="E110">
        <v>2.9</v>
      </c>
      <c r="F110">
        <v>11.6</v>
      </c>
      <c r="K110">
        <v>3.1</v>
      </c>
      <c r="L110">
        <v>0</v>
      </c>
      <c r="M110">
        <v>5.6</v>
      </c>
      <c r="N110">
        <v>2.9</v>
      </c>
      <c r="O110" t="s">
        <v>8</v>
      </c>
      <c r="P110" t="s">
        <v>8</v>
      </c>
      <c r="Q110" t="s">
        <v>7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 t="s">
        <v>8</v>
      </c>
      <c r="X110" t="s">
        <v>8</v>
      </c>
      <c r="Y110" t="s">
        <v>8</v>
      </c>
      <c r="Z110" t="s">
        <v>8</v>
      </c>
      <c r="AA110" t="s">
        <v>8</v>
      </c>
      <c r="AB110" t="s">
        <v>8</v>
      </c>
    </row>
    <row r="111" spans="1:28" x14ac:dyDescent="0.25">
      <c r="A111">
        <v>110</v>
      </c>
      <c r="B111" t="s">
        <v>510</v>
      </c>
      <c r="C111" t="s">
        <v>90</v>
      </c>
      <c r="E111">
        <v>0.9</v>
      </c>
      <c r="F111">
        <v>11.5</v>
      </c>
      <c r="K111" t="s">
        <v>8</v>
      </c>
      <c r="L111" t="s">
        <v>8</v>
      </c>
      <c r="M111">
        <v>6.1</v>
      </c>
      <c r="N111" t="s">
        <v>8</v>
      </c>
      <c r="O111">
        <v>0</v>
      </c>
      <c r="P111">
        <v>0</v>
      </c>
      <c r="Q111" t="s">
        <v>8</v>
      </c>
      <c r="R111">
        <v>0</v>
      </c>
      <c r="S111">
        <v>1.7</v>
      </c>
      <c r="T111">
        <v>0</v>
      </c>
      <c r="U111">
        <v>0</v>
      </c>
      <c r="V111">
        <v>1.6</v>
      </c>
      <c r="W111">
        <v>0</v>
      </c>
      <c r="X111">
        <v>0.3</v>
      </c>
      <c r="Y111">
        <v>0</v>
      </c>
      <c r="Z111" t="s">
        <v>8</v>
      </c>
      <c r="AA111">
        <v>1.8</v>
      </c>
      <c r="AB111">
        <v>0</v>
      </c>
    </row>
    <row r="112" spans="1:28" x14ac:dyDescent="0.25">
      <c r="A112">
        <v>111</v>
      </c>
      <c r="B112" t="s">
        <v>508</v>
      </c>
      <c r="C112" t="s">
        <v>90</v>
      </c>
      <c r="E112">
        <v>2.2000000000000002</v>
      </c>
      <c r="F112">
        <v>11.1</v>
      </c>
      <c r="K112">
        <v>0</v>
      </c>
      <c r="L112" t="s">
        <v>8</v>
      </c>
      <c r="M112" t="s">
        <v>8</v>
      </c>
      <c r="N112" t="s">
        <v>8</v>
      </c>
      <c r="O112" t="s">
        <v>8</v>
      </c>
      <c r="P112" t="s">
        <v>8</v>
      </c>
      <c r="Q112" t="s">
        <v>8</v>
      </c>
      <c r="R112" t="s">
        <v>8</v>
      </c>
      <c r="S112" t="s">
        <v>8</v>
      </c>
      <c r="T112" t="s">
        <v>8</v>
      </c>
      <c r="U112" t="s">
        <v>8</v>
      </c>
      <c r="V112" t="s">
        <v>8</v>
      </c>
      <c r="W112" t="s">
        <v>8</v>
      </c>
      <c r="X112">
        <v>0</v>
      </c>
      <c r="Y112">
        <v>8.5</v>
      </c>
      <c r="Z112">
        <v>2</v>
      </c>
      <c r="AA112">
        <v>0.6</v>
      </c>
      <c r="AB112" t="s">
        <v>8</v>
      </c>
    </row>
    <row r="113" spans="1:28" x14ac:dyDescent="0.25">
      <c r="A113">
        <v>112</v>
      </c>
      <c r="B113" t="s">
        <v>509</v>
      </c>
      <c r="C113" t="s">
        <v>16</v>
      </c>
      <c r="E113">
        <v>2.7</v>
      </c>
      <c r="F113">
        <v>10.6</v>
      </c>
      <c r="K113" t="s">
        <v>8</v>
      </c>
      <c r="L113" t="s">
        <v>8</v>
      </c>
      <c r="M113">
        <v>6.6</v>
      </c>
      <c r="N113" t="s">
        <v>8</v>
      </c>
      <c r="O113">
        <v>0</v>
      </c>
      <c r="P113">
        <v>2.8</v>
      </c>
      <c r="Q113" t="s">
        <v>8</v>
      </c>
      <c r="R113" t="s">
        <v>8</v>
      </c>
      <c r="S113" t="s">
        <v>8</v>
      </c>
      <c r="T113" t="s">
        <v>8</v>
      </c>
      <c r="U113" t="s">
        <v>8</v>
      </c>
      <c r="V113" t="s">
        <v>8</v>
      </c>
      <c r="W113" t="s">
        <v>8</v>
      </c>
      <c r="X113" t="s">
        <v>8</v>
      </c>
      <c r="Y113" t="s">
        <v>8</v>
      </c>
      <c r="Z113" t="s">
        <v>8</v>
      </c>
      <c r="AA113">
        <v>1.2</v>
      </c>
      <c r="AB113" t="s">
        <v>8</v>
      </c>
    </row>
    <row r="114" spans="1:28" x14ac:dyDescent="0.25">
      <c r="A114">
        <v>113</v>
      </c>
      <c r="B114" t="s">
        <v>105</v>
      </c>
      <c r="C114" t="s">
        <v>32</v>
      </c>
      <c r="E114">
        <v>1</v>
      </c>
      <c r="F114">
        <v>10.3</v>
      </c>
      <c r="K114" t="s">
        <v>8</v>
      </c>
      <c r="L114">
        <v>0.4</v>
      </c>
      <c r="M114" t="s">
        <v>8</v>
      </c>
      <c r="N114" t="s">
        <v>8</v>
      </c>
      <c r="O114" t="s">
        <v>8</v>
      </c>
      <c r="P114" t="s">
        <v>8</v>
      </c>
      <c r="Q114" t="s">
        <v>7</v>
      </c>
      <c r="R114" t="s">
        <v>8</v>
      </c>
      <c r="S114">
        <v>3</v>
      </c>
      <c r="T114">
        <v>0</v>
      </c>
      <c r="U114">
        <v>0</v>
      </c>
      <c r="V114" t="s">
        <v>8</v>
      </c>
      <c r="W114">
        <v>2.5</v>
      </c>
      <c r="X114">
        <v>2.1</v>
      </c>
      <c r="Y114">
        <v>1.7</v>
      </c>
      <c r="Z114">
        <v>0.6</v>
      </c>
      <c r="AA114">
        <v>0</v>
      </c>
      <c r="AB114">
        <v>0</v>
      </c>
    </row>
    <row r="115" spans="1:28" x14ac:dyDescent="0.25">
      <c r="A115">
        <v>114</v>
      </c>
      <c r="B115" t="s">
        <v>515</v>
      </c>
      <c r="C115" t="s">
        <v>38</v>
      </c>
      <c r="E115">
        <v>0.6</v>
      </c>
      <c r="F115">
        <v>10.199999999999999</v>
      </c>
      <c r="K115">
        <v>2.7</v>
      </c>
      <c r="L115">
        <v>0</v>
      </c>
      <c r="M115">
        <v>1.7</v>
      </c>
      <c r="N115">
        <v>0</v>
      </c>
      <c r="O115">
        <v>0</v>
      </c>
      <c r="P115">
        <v>0</v>
      </c>
      <c r="Q115">
        <v>0</v>
      </c>
      <c r="R115">
        <v>1.2</v>
      </c>
      <c r="S115">
        <v>0</v>
      </c>
      <c r="T115">
        <v>0</v>
      </c>
      <c r="U115">
        <v>0</v>
      </c>
      <c r="V115">
        <v>2.2999999999999998</v>
      </c>
      <c r="W115" t="s">
        <v>7</v>
      </c>
      <c r="X115">
        <v>0.7</v>
      </c>
      <c r="Y115">
        <v>0</v>
      </c>
      <c r="Z115">
        <v>1.6</v>
      </c>
      <c r="AA115">
        <v>0</v>
      </c>
      <c r="AB115">
        <v>0</v>
      </c>
    </row>
    <row r="116" spans="1:28" x14ac:dyDescent="0.25">
      <c r="A116">
        <v>115</v>
      </c>
      <c r="B116" t="s">
        <v>514</v>
      </c>
      <c r="C116" t="s">
        <v>90</v>
      </c>
      <c r="E116">
        <v>0.8</v>
      </c>
      <c r="F116">
        <v>9.9</v>
      </c>
      <c r="K116">
        <v>3.6</v>
      </c>
      <c r="L116">
        <v>0</v>
      </c>
      <c r="M116">
        <v>0</v>
      </c>
      <c r="N116" t="s">
        <v>8</v>
      </c>
      <c r="O116">
        <v>1.5</v>
      </c>
      <c r="P116">
        <v>1.9</v>
      </c>
      <c r="Q116">
        <v>0</v>
      </c>
      <c r="R116">
        <v>0</v>
      </c>
      <c r="S116">
        <v>0</v>
      </c>
      <c r="T116">
        <v>0</v>
      </c>
      <c r="U116" t="s">
        <v>8</v>
      </c>
      <c r="V116">
        <v>0</v>
      </c>
      <c r="W116">
        <v>0.2</v>
      </c>
      <c r="X116">
        <v>2.7</v>
      </c>
      <c r="Y116" t="s">
        <v>8</v>
      </c>
      <c r="Z116" t="s">
        <v>8</v>
      </c>
      <c r="AA116" t="s">
        <v>8</v>
      </c>
      <c r="AB116" t="s">
        <v>8</v>
      </c>
    </row>
    <row r="117" spans="1:28" x14ac:dyDescent="0.25">
      <c r="A117">
        <v>116</v>
      </c>
      <c r="B117" t="s">
        <v>519</v>
      </c>
      <c r="C117" t="s">
        <v>28</v>
      </c>
      <c r="E117">
        <v>0.5</v>
      </c>
      <c r="F117">
        <v>8.1999999999999993</v>
      </c>
      <c r="K117">
        <v>2.8</v>
      </c>
      <c r="L117">
        <v>0.3</v>
      </c>
      <c r="M117">
        <v>1.5</v>
      </c>
      <c r="N117">
        <v>0</v>
      </c>
      <c r="O117" t="s">
        <v>8</v>
      </c>
      <c r="P117">
        <v>0.9</v>
      </c>
      <c r="Q117">
        <v>-1</v>
      </c>
      <c r="R117">
        <v>0</v>
      </c>
      <c r="S117">
        <v>0</v>
      </c>
      <c r="T117">
        <v>0</v>
      </c>
      <c r="U117">
        <v>2.4</v>
      </c>
      <c r="V117">
        <v>0.5</v>
      </c>
      <c r="W117">
        <v>0.6</v>
      </c>
      <c r="X117">
        <v>0</v>
      </c>
      <c r="Y117">
        <v>0</v>
      </c>
      <c r="Z117">
        <v>0.2</v>
      </c>
      <c r="AA117">
        <v>0</v>
      </c>
      <c r="AB117">
        <v>0</v>
      </c>
    </row>
    <row r="118" spans="1:28" x14ac:dyDescent="0.25">
      <c r="A118">
        <v>117</v>
      </c>
      <c r="B118" t="s">
        <v>516</v>
      </c>
      <c r="C118" t="s">
        <v>90</v>
      </c>
      <c r="E118">
        <v>2.5</v>
      </c>
      <c r="F118">
        <v>7.5</v>
      </c>
      <c r="K118" t="s">
        <v>8</v>
      </c>
      <c r="L118" t="s">
        <v>8</v>
      </c>
      <c r="M118" t="s">
        <v>8</v>
      </c>
      <c r="N118" t="s">
        <v>8</v>
      </c>
      <c r="O118" t="s">
        <v>8</v>
      </c>
      <c r="P118">
        <v>5.4</v>
      </c>
      <c r="Q118">
        <v>0.2</v>
      </c>
      <c r="R118">
        <v>1.9</v>
      </c>
      <c r="S118" t="s">
        <v>8</v>
      </c>
      <c r="T118" t="s">
        <v>8</v>
      </c>
      <c r="U118" t="s">
        <v>8</v>
      </c>
      <c r="V118" t="s">
        <v>8</v>
      </c>
      <c r="W118" t="s">
        <v>8</v>
      </c>
      <c r="X118" t="s">
        <v>8</v>
      </c>
      <c r="Y118" t="s">
        <v>8</v>
      </c>
      <c r="Z118" t="s">
        <v>8</v>
      </c>
      <c r="AA118" t="s">
        <v>8</v>
      </c>
      <c r="AB118" t="s">
        <v>8</v>
      </c>
    </row>
    <row r="119" spans="1:28" x14ac:dyDescent="0.25">
      <c r="A119">
        <v>118</v>
      </c>
      <c r="B119" t="s">
        <v>518</v>
      </c>
      <c r="C119" t="s">
        <v>50</v>
      </c>
      <c r="E119">
        <v>0.4</v>
      </c>
      <c r="F119">
        <v>6.7</v>
      </c>
      <c r="K119">
        <v>1.3</v>
      </c>
      <c r="L119">
        <v>0.3</v>
      </c>
      <c r="M119">
        <v>0</v>
      </c>
      <c r="N119">
        <v>0</v>
      </c>
      <c r="O119">
        <v>2</v>
      </c>
      <c r="P119">
        <v>0.2</v>
      </c>
      <c r="Q119">
        <v>-0.2</v>
      </c>
      <c r="R119">
        <v>0</v>
      </c>
      <c r="S119" t="s">
        <v>7</v>
      </c>
      <c r="T119">
        <v>0</v>
      </c>
      <c r="U119">
        <v>0</v>
      </c>
      <c r="V119">
        <v>0</v>
      </c>
      <c r="W119">
        <v>0.4</v>
      </c>
      <c r="X119">
        <v>1.3</v>
      </c>
      <c r="Y119">
        <v>0</v>
      </c>
      <c r="Z119">
        <v>1.4</v>
      </c>
      <c r="AA119">
        <v>0</v>
      </c>
      <c r="AB119">
        <v>0</v>
      </c>
    </row>
    <row r="120" spans="1:28" x14ac:dyDescent="0.25">
      <c r="A120">
        <v>119</v>
      </c>
      <c r="B120" t="s">
        <v>517</v>
      </c>
      <c r="C120" t="s">
        <v>90</v>
      </c>
      <c r="E120">
        <v>1.3</v>
      </c>
      <c r="F120">
        <v>6.4</v>
      </c>
      <c r="K120" t="s">
        <v>8</v>
      </c>
      <c r="L120" t="s">
        <v>8</v>
      </c>
      <c r="M120" t="s">
        <v>8</v>
      </c>
      <c r="N120">
        <v>2.9</v>
      </c>
      <c r="O120" t="s">
        <v>8</v>
      </c>
      <c r="P120">
        <v>0.9</v>
      </c>
      <c r="Q120">
        <v>0.7</v>
      </c>
      <c r="R120">
        <v>0.1</v>
      </c>
      <c r="S120">
        <v>1.8</v>
      </c>
      <c r="T120" t="s">
        <v>8</v>
      </c>
      <c r="U120" t="s">
        <v>8</v>
      </c>
      <c r="V120" t="s">
        <v>8</v>
      </c>
      <c r="W120" t="s">
        <v>8</v>
      </c>
      <c r="X120" t="s">
        <v>8</v>
      </c>
      <c r="Y120" t="s">
        <v>8</v>
      </c>
      <c r="Z120" t="s">
        <v>8</v>
      </c>
      <c r="AA120" t="s">
        <v>8</v>
      </c>
      <c r="AB120" t="s">
        <v>8</v>
      </c>
    </row>
    <row r="121" spans="1:28" x14ac:dyDescent="0.25">
      <c r="A121">
        <v>120</v>
      </c>
      <c r="B121" t="s">
        <v>520</v>
      </c>
      <c r="C121" t="s">
        <v>90</v>
      </c>
      <c r="E121">
        <v>0.5</v>
      </c>
      <c r="F121">
        <v>6.3</v>
      </c>
      <c r="K121">
        <v>0</v>
      </c>
      <c r="L121">
        <v>0</v>
      </c>
      <c r="M121" t="s">
        <v>8</v>
      </c>
      <c r="N121">
        <v>0</v>
      </c>
      <c r="O121">
        <v>3.8</v>
      </c>
      <c r="P121">
        <v>0</v>
      </c>
      <c r="Q121">
        <v>0.9</v>
      </c>
      <c r="R121">
        <v>0</v>
      </c>
      <c r="S121" t="s">
        <v>8</v>
      </c>
      <c r="T121">
        <v>0</v>
      </c>
      <c r="U121" t="s">
        <v>8</v>
      </c>
      <c r="V121">
        <v>1.6</v>
      </c>
      <c r="W121">
        <v>0</v>
      </c>
      <c r="X121">
        <v>0</v>
      </c>
      <c r="Y121">
        <v>0</v>
      </c>
      <c r="Z121" t="s">
        <v>8</v>
      </c>
      <c r="AA121" t="s">
        <v>8</v>
      </c>
      <c r="AB121" t="s">
        <v>8</v>
      </c>
    </row>
    <row r="122" spans="1:28" x14ac:dyDescent="0.25">
      <c r="A122">
        <v>121</v>
      </c>
      <c r="B122" t="s">
        <v>522</v>
      </c>
      <c r="C122" t="s">
        <v>90</v>
      </c>
      <c r="E122">
        <v>0.4</v>
      </c>
      <c r="F122">
        <v>5.8</v>
      </c>
      <c r="K122">
        <v>0</v>
      </c>
      <c r="L122" t="s">
        <v>8</v>
      </c>
      <c r="M122">
        <v>0</v>
      </c>
      <c r="N122" t="s">
        <v>8</v>
      </c>
      <c r="O122">
        <v>2.6</v>
      </c>
      <c r="P122">
        <v>1.1000000000000001</v>
      </c>
      <c r="Q122">
        <v>1.4</v>
      </c>
      <c r="R122">
        <v>0</v>
      </c>
      <c r="S122">
        <v>0</v>
      </c>
      <c r="T122" t="s">
        <v>8</v>
      </c>
      <c r="U122">
        <v>0</v>
      </c>
      <c r="V122">
        <v>0</v>
      </c>
      <c r="W122" t="s">
        <v>8</v>
      </c>
      <c r="X122">
        <v>0.7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122</v>
      </c>
      <c r="B123" t="s">
        <v>94</v>
      </c>
      <c r="C123" t="s">
        <v>34</v>
      </c>
      <c r="E123">
        <v>1</v>
      </c>
      <c r="F123">
        <v>5.2</v>
      </c>
      <c r="K123">
        <v>4.4000000000000004</v>
      </c>
      <c r="L123">
        <v>0.7</v>
      </c>
      <c r="M123">
        <v>0.1</v>
      </c>
      <c r="N123">
        <v>0</v>
      </c>
      <c r="O123" t="s">
        <v>7</v>
      </c>
      <c r="P123" t="s">
        <v>8</v>
      </c>
      <c r="Q123" t="s">
        <v>8</v>
      </c>
      <c r="R123" t="s">
        <v>8</v>
      </c>
      <c r="S123" t="s">
        <v>8</v>
      </c>
      <c r="T123">
        <v>0</v>
      </c>
      <c r="U123" t="s">
        <v>8</v>
      </c>
      <c r="V123" t="s">
        <v>8</v>
      </c>
      <c r="W123" t="s">
        <v>8</v>
      </c>
      <c r="X123" t="s">
        <v>8</v>
      </c>
      <c r="Y123" t="s">
        <v>8</v>
      </c>
      <c r="Z123" t="s">
        <v>8</v>
      </c>
      <c r="AA123" t="s">
        <v>8</v>
      </c>
      <c r="AB123" t="s">
        <v>8</v>
      </c>
    </row>
    <row r="124" spans="1:28" x14ac:dyDescent="0.25">
      <c r="A124">
        <v>123</v>
      </c>
      <c r="B124" t="s">
        <v>521</v>
      </c>
      <c r="C124" t="s">
        <v>90</v>
      </c>
      <c r="E124">
        <v>1.6</v>
      </c>
      <c r="F124">
        <v>4.8</v>
      </c>
      <c r="K124" t="s">
        <v>8</v>
      </c>
      <c r="L124">
        <v>2.4</v>
      </c>
      <c r="M124" t="s">
        <v>8</v>
      </c>
      <c r="N124" t="s">
        <v>8</v>
      </c>
      <c r="O124" t="s">
        <v>8</v>
      </c>
      <c r="P124" t="s">
        <v>8</v>
      </c>
      <c r="Q124" t="s">
        <v>8</v>
      </c>
      <c r="R124" t="s">
        <v>8</v>
      </c>
      <c r="S124">
        <v>0.8</v>
      </c>
      <c r="T124" t="s">
        <v>8</v>
      </c>
      <c r="U124" t="s">
        <v>8</v>
      </c>
      <c r="V124" t="s">
        <v>8</v>
      </c>
      <c r="W124" t="s">
        <v>8</v>
      </c>
      <c r="X124" t="s">
        <v>8</v>
      </c>
      <c r="Y124" t="s">
        <v>8</v>
      </c>
      <c r="Z124" t="s">
        <v>8</v>
      </c>
      <c r="AA124" t="s">
        <v>8</v>
      </c>
      <c r="AB124">
        <v>1.6</v>
      </c>
    </row>
    <row r="125" spans="1:28" x14ac:dyDescent="0.25">
      <c r="A125">
        <v>124</v>
      </c>
      <c r="B125" t="s">
        <v>526</v>
      </c>
      <c r="C125" t="s">
        <v>14</v>
      </c>
      <c r="E125">
        <v>1.4</v>
      </c>
      <c r="F125">
        <v>4.3</v>
      </c>
      <c r="K125" t="s">
        <v>8</v>
      </c>
      <c r="L125" t="s">
        <v>8</v>
      </c>
      <c r="M125" t="s">
        <v>8</v>
      </c>
      <c r="N125" t="s">
        <v>8</v>
      </c>
      <c r="O125" t="s">
        <v>8</v>
      </c>
      <c r="P125" t="s">
        <v>8</v>
      </c>
      <c r="Q125" t="s">
        <v>8</v>
      </c>
      <c r="R125">
        <v>0</v>
      </c>
      <c r="S125" t="s">
        <v>8</v>
      </c>
      <c r="T125">
        <v>4.3</v>
      </c>
      <c r="U125" t="s">
        <v>7</v>
      </c>
      <c r="V125" t="s">
        <v>8</v>
      </c>
      <c r="W125" t="s">
        <v>8</v>
      </c>
      <c r="X125" t="s">
        <v>8</v>
      </c>
      <c r="Y125" t="s">
        <v>8</v>
      </c>
      <c r="Z125" t="s">
        <v>8</v>
      </c>
      <c r="AA125" t="s">
        <v>8</v>
      </c>
      <c r="AB125">
        <v>0</v>
      </c>
    </row>
    <row r="126" spans="1:28" x14ac:dyDescent="0.25">
      <c r="A126">
        <v>124</v>
      </c>
      <c r="B126" t="s">
        <v>525</v>
      </c>
      <c r="C126" t="s">
        <v>90</v>
      </c>
      <c r="E126">
        <v>0.6</v>
      </c>
      <c r="F126">
        <v>4.3</v>
      </c>
      <c r="K126" t="s">
        <v>8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  <c r="Q126" t="s">
        <v>8</v>
      </c>
      <c r="R126">
        <v>1</v>
      </c>
      <c r="S126">
        <v>0</v>
      </c>
      <c r="T126">
        <v>1.3</v>
      </c>
      <c r="U126" t="s">
        <v>8</v>
      </c>
      <c r="V126" t="s">
        <v>8</v>
      </c>
      <c r="W126" t="s">
        <v>8</v>
      </c>
      <c r="X126" t="s">
        <v>8</v>
      </c>
      <c r="Y126">
        <v>0</v>
      </c>
      <c r="Z126">
        <v>0</v>
      </c>
      <c r="AA126">
        <v>0</v>
      </c>
      <c r="AB126">
        <v>2</v>
      </c>
    </row>
    <row r="127" spans="1:28" x14ac:dyDescent="0.25">
      <c r="A127">
        <v>126</v>
      </c>
      <c r="B127" t="s">
        <v>537</v>
      </c>
      <c r="C127" t="s">
        <v>90</v>
      </c>
      <c r="E127">
        <v>2</v>
      </c>
      <c r="F127">
        <v>4</v>
      </c>
      <c r="K127">
        <v>3.8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t="s">
        <v>8</v>
      </c>
      <c r="R127" t="s">
        <v>8</v>
      </c>
      <c r="S127">
        <v>0.2</v>
      </c>
      <c r="T127" t="s">
        <v>8</v>
      </c>
      <c r="U127" t="s">
        <v>8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8</v>
      </c>
      <c r="AB127" t="s">
        <v>8</v>
      </c>
    </row>
    <row r="128" spans="1:28" x14ac:dyDescent="0.25">
      <c r="A128">
        <v>126</v>
      </c>
      <c r="B128" t="s">
        <v>523</v>
      </c>
      <c r="C128" t="s">
        <v>90</v>
      </c>
      <c r="E128">
        <v>2</v>
      </c>
      <c r="F128">
        <v>4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  <c r="Q128" t="s">
        <v>8</v>
      </c>
      <c r="R128" t="s">
        <v>8</v>
      </c>
      <c r="S128" t="s">
        <v>8</v>
      </c>
      <c r="T128" t="s">
        <v>8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>
        <v>2</v>
      </c>
      <c r="AA128" t="s">
        <v>8</v>
      </c>
      <c r="AB128">
        <v>2</v>
      </c>
    </row>
    <row r="129" spans="1:28" x14ac:dyDescent="0.25">
      <c r="A129">
        <v>128</v>
      </c>
      <c r="B129" t="s">
        <v>524</v>
      </c>
      <c r="C129" t="s">
        <v>14</v>
      </c>
      <c r="E129">
        <v>3.9</v>
      </c>
      <c r="F129">
        <v>3.9</v>
      </c>
      <c r="K129" t="s">
        <v>8</v>
      </c>
      <c r="L129">
        <v>3.9</v>
      </c>
      <c r="M129" t="s">
        <v>8</v>
      </c>
      <c r="N129" t="s">
        <v>8</v>
      </c>
      <c r="O129" t="s">
        <v>8</v>
      </c>
      <c r="P129" t="s">
        <v>8</v>
      </c>
      <c r="Q129" t="s">
        <v>8</v>
      </c>
      <c r="R129" t="s">
        <v>8</v>
      </c>
      <c r="S129" t="s">
        <v>8</v>
      </c>
      <c r="T129" t="s">
        <v>8</v>
      </c>
      <c r="U129" t="s">
        <v>7</v>
      </c>
      <c r="V129" t="s">
        <v>8</v>
      </c>
      <c r="W129" t="s">
        <v>8</v>
      </c>
      <c r="X129" t="s">
        <v>8</v>
      </c>
      <c r="Y129" t="s">
        <v>8</v>
      </c>
      <c r="Z129" t="s">
        <v>8</v>
      </c>
      <c r="AA129" t="s">
        <v>8</v>
      </c>
      <c r="AB129" t="s">
        <v>8</v>
      </c>
    </row>
    <row r="130" spans="1:28" x14ac:dyDescent="0.25">
      <c r="A130">
        <v>129</v>
      </c>
      <c r="B130" t="s">
        <v>527</v>
      </c>
      <c r="C130" t="s">
        <v>90</v>
      </c>
      <c r="E130">
        <v>3.2</v>
      </c>
      <c r="F130">
        <v>3.2</v>
      </c>
      <c r="K130">
        <v>3.2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  <c r="Q130" t="s">
        <v>8</v>
      </c>
      <c r="R130" t="s">
        <v>8</v>
      </c>
      <c r="S130" t="s">
        <v>8</v>
      </c>
      <c r="T130" t="s">
        <v>8</v>
      </c>
      <c r="U130" t="s">
        <v>8</v>
      </c>
      <c r="V130" t="s">
        <v>8</v>
      </c>
      <c r="W130" t="s">
        <v>8</v>
      </c>
      <c r="X130" t="s">
        <v>8</v>
      </c>
      <c r="Y130" t="s">
        <v>8</v>
      </c>
      <c r="Z130" t="s">
        <v>8</v>
      </c>
      <c r="AA130" t="s">
        <v>8</v>
      </c>
      <c r="AB130" t="s">
        <v>8</v>
      </c>
    </row>
    <row r="131" spans="1:28" x14ac:dyDescent="0.25">
      <c r="A131">
        <v>130</v>
      </c>
      <c r="B131" t="s">
        <v>532</v>
      </c>
      <c r="C131" t="s">
        <v>90</v>
      </c>
      <c r="E131">
        <v>1</v>
      </c>
      <c r="F131">
        <v>3.1</v>
      </c>
      <c r="K131">
        <v>3.1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  <c r="Q131" t="s">
        <v>8</v>
      </c>
      <c r="R131" t="s">
        <v>8</v>
      </c>
      <c r="S131" t="s">
        <v>8</v>
      </c>
      <c r="T131">
        <v>0</v>
      </c>
      <c r="U131">
        <v>0</v>
      </c>
      <c r="V131" t="s">
        <v>8</v>
      </c>
      <c r="W131" t="s">
        <v>8</v>
      </c>
      <c r="X131" t="s">
        <v>8</v>
      </c>
      <c r="Y131" t="s">
        <v>8</v>
      </c>
      <c r="Z131" t="s">
        <v>8</v>
      </c>
      <c r="AA131" t="s">
        <v>8</v>
      </c>
      <c r="AB131" t="s">
        <v>8</v>
      </c>
    </row>
    <row r="132" spans="1:28" x14ac:dyDescent="0.25">
      <c r="A132">
        <v>130</v>
      </c>
      <c r="B132" t="s">
        <v>530</v>
      </c>
      <c r="C132" t="s">
        <v>90</v>
      </c>
      <c r="E132">
        <v>1</v>
      </c>
      <c r="F132">
        <v>3.1</v>
      </c>
      <c r="K132" t="s">
        <v>8</v>
      </c>
      <c r="L132" t="s">
        <v>8</v>
      </c>
      <c r="M132">
        <v>3.1</v>
      </c>
      <c r="N132" t="s">
        <v>8</v>
      </c>
      <c r="O132">
        <v>0</v>
      </c>
      <c r="P132" t="s">
        <v>8</v>
      </c>
      <c r="Q132" t="s">
        <v>8</v>
      </c>
      <c r="R132" t="s">
        <v>8</v>
      </c>
      <c r="S132" t="s">
        <v>8</v>
      </c>
      <c r="T132" t="s">
        <v>8</v>
      </c>
      <c r="U132" t="s">
        <v>8</v>
      </c>
      <c r="V132" t="s">
        <v>8</v>
      </c>
      <c r="W132" t="s">
        <v>8</v>
      </c>
      <c r="X132" t="s">
        <v>8</v>
      </c>
      <c r="Y132">
        <v>0</v>
      </c>
      <c r="Z132" t="s">
        <v>8</v>
      </c>
      <c r="AA132" t="s">
        <v>8</v>
      </c>
      <c r="AB132" t="s">
        <v>8</v>
      </c>
    </row>
    <row r="133" spans="1:28" x14ac:dyDescent="0.25">
      <c r="A133">
        <v>130</v>
      </c>
      <c r="B133" t="s">
        <v>528</v>
      </c>
      <c r="C133" t="s">
        <v>40</v>
      </c>
      <c r="E133">
        <v>1.6</v>
      </c>
      <c r="F133">
        <v>3.1</v>
      </c>
      <c r="K133" t="s">
        <v>8</v>
      </c>
      <c r="L133" t="s">
        <v>8</v>
      </c>
      <c r="M133">
        <v>1.3</v>
      </c>
      <c r="N133" t="s">
        <v>8</v>
      </c>
      <c r="O133">
        <v>1.8</v>
      </c>
      <c r="P133" t="s">
        <v>8</v>
      </c>
      <c r="Q133" t="s">
        <v>7</v>
      </c>
      <c r="R133" t="s">
        <v>8</v>
      </c>
      <c r="S133" t="s">
        <v>8</v>
      </c>
      <c r="T133" t="s">
        <v>8</v>
      </c>
      <c r="U133" t="s">
        <v>8</v>
      </c>
      <c r="V133" t="s">
        <v>8</v>
      </c>
      <c r="W133" t="s">
        <v>8</v>
      </c>
      <c r="X133" t="s">
        <v>8</v>
      </c>
      <c r="Y133" t="s">
        <v>8</v>
      </c>
      <c r="Z133" t="s">
        <v>8</v>
      </c>
      <c r="AA133" t="s">
        <v>8</v>
      </c>
      <c r="AB133" t="s">
        <v>8</v>
      </c>
    </row>
    <row r="134" spans="1:28" x14ac:dyDescent="0.25">
      <c r="A134">
        <v>133</v>
      </c>
      <c r="B134" t="s">
        <v>529</v>
      </c>
      <c r="C134" t="s">
        <v>90</v>
      </c>
      <c r="E134">
        <v>0.5</v>
      </c>
      <c r="F134">
        <v>2.6</v>
      </c>
      <c r="K134" t="s">
        <v>8</v>
      </c>
      <c r="L134" t="s">
        <v>8</v>
      </c>
      <c r="M134" t="s">
        <v>8</v>
      </c>
      <c r="N134">
        <v>0</v>
      </c>
      <c r="O134">
        <v>0</v>
      </c>
      <c r="P134" t="s">
        <v>8</v>
      </c>
      <c r="Q134" t="s">
        <v>8</v>
      </c>
      <c r="R134" t="s">
        <v>8</v>
      </c>
      <c r="S134" t="s">
        <v>8</v>
      </c>
      <c r="T134" t="s">
        <v>8</v>
      </c>
      <c r="U134">
        <v>2.2999999999999998</v>
      </c>
      <c r="V134" t="s">
        <v>8</v>
      </c>
      <c r="W134" t="s">
        <v>8</v>
      </c>
      <c r="X134" t="s">
        <v>8</v>
      </c>
      <c r="Y134" t="s">
        <v>8</v>
      </c>
      <c r="Z134">
        <v>0</v>
      </c>
      <c r="AA134" t="s">
        <v>8</v>
      </c>
      <c r="AB134">
        <v>0.3</v>
      </c>
    </row>
    <row r="135" spans="1:28" x14ac:dyDescent="0.25">
      <c r="A135">
        <v>134</v>
      </c>
      <c r="B135" t="s">
        <v>538</v>
      </c>
      <c r="C135" t="s">
        <v>90</v>
      </c>
      <c r="E135">
        <v>0.2</v>
      </c>
      <c r="F135">
        <v>2.4</v>
      </c>
      <c r="K135">
        <v>0</v>
      </c>
      <c r="L135" t="s">
        <v>8</v>
      </c>
      <c r="M135" t="s">
        <v>8</v>
      </c>
      <c r="N135">
        <v>0</v>
      </c>
      <c r="O135">
        <v>0</v>
      </c>
      <c r="P135" t="s">
        <v>8</v>
      </c>
      <c r="Q135" t="s">
        <v>8</v>
      </c>
      <c r="R135" t="s">
        <v>8</v>
      </c>
      <c r="S135" t="s">
        <v>8</v>
      </c>
      <c r="T135">
        <v>0</v>
      </c>
      <c r="U135" t="s">
        <v>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2.4</v>
      </c>
      <c r="AB135">
        <v>0</v>
      </c>
    </row>
    <row r="136" spans="1:28" x14ac:dyDescent="0.25">
      <c r="A136">
        <v>135</v>
      </c>
      <c r="B136" t="s">
        <v>534</v>
      </c>
      <c r="C136" t="s">
        <v>90</v>
      </c>
      <c r="E136">
        <v>1.2</v>
      </c>
      <c r="F136">
        <v>2.2999999999999998</v>
      </c>
      <c r="K136" t="s">
        <v>8</v>
      </c>
      <c r="L136" t="s">
        <v>8</v>
      </c>
      <c r="M136" t="s">
        <v>8</v>
      </c>
      <c r="N136" t="s">
        <v>8</v>
      </c>
      <c r="O136" t="s">
        <v>8</v>
      </c>
      <c r="P136">
        <v>2.2999999999999998</v>
      </c>
      <c r="Q136" t="s">
        <v>8</v>
      </c>
      <c r="R136">
        <v>0</v>
      </c>
      <c r="S136" t="s">
        <v>8</v>
      </c>
      <c r="T136" t="s">
        <v>8</v>
      </c>
      <c r="U136" t="s">
        <v>8</v>
      </c>
      <c r="V136" t="s">
        <v>8</v>
      </c>
      <c r="W136" t="s">
        <v>8</v>
      </c>
      <c r="X136" t="s">
        <v>8</v>
      </c>
      <c r="Y136" t="s">
        <v>8</v>
      </c>
      <c r="Z136" t="s">
        <v>8</v>
      </c>
      <c r="AA136" t="s">
        <v>8</v>
      </c>
      <c r="AB136" t="s">
        <v>8</v>
      </c>
    </row>
    <row r="137" spans="1:28" x14ac:dyDescent="0.25">
      <c r="A137">
        <v>136</v>
      </c>
      <c r="B137" t="s">
        <v>535</v>
      </c>
      <c r="C137" t="s">
        <v>32</v>
      </c>
      <c r="E137">
        <v>0.2</v>
      </c>
      <c r="F137">
        <v>2.2000000000000002</v>
      </c>
      <c r="K137" t="s">
        <v>8</v>
      </c>
      <c r="L137" t="s">
        <v>8</v>
      </c>
      <c r="M137">
        <v>0</v>
      </c>
      <c r="N137">
        <v>2.2000000000000002</v>
      </c>
      <c r="O137">
        <v>0</v>
      </c>
      <c r="P137">
        <v>0</v>
      </c>
      <c r="Q137">
        <v>0</v>
      </c>
      <c r="R137">
        <v>0</v>
      </c>
      <c r="S137" t="s">
        <v>8</v>
      </c>
      <c r="T137" t="s">
        <v>8</v>
      </c>
      <c r="U137" t="s">
        <v>8</v>
      </c>
      <c r="V137" t="s">
        <v>8</v>
      </c>
      <c r="W137" t="s">
        <v>8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137</v>
      </c>
      <c r="B138" t="s">
        <v>531</v>
      </c>
      <c r="C138" t="s">
        <v>90</v>
      </c>
      <c r="E138">
        <v>2.1</v>
      </c>
      <c r="F138">
        <v>2.1</v>
      </c>
      <c r="K138" t="s">
        <v>8</v>
      </c>
      <c r="L138" t="s">
        <v>8</v>
      </c>
      <c r="M138" t="s">
        <v>8</v>
      </c>
      <c r="N138" t="s">
        <v>8</v>
      </c>
      <c r="O138">
        <v>2.1</v>
      </c>
      <c r="P138" t="s">
        <v>8</v>
      </c>
      <c r="Q138" t="s">
        <v>8</v>
      </c>
      <c r="R138" t="s">
        <v>8</v>
      </c>
      <c r="S138" t="s">
        <v>8</v>
      </c>
      <c r="T138" t="s">
        <v>8</v>
      </c>
      <c r="U138" t="s">
        <v>8</v>
      </c>
      <c r="V138" t="s">
        <v>8</v>
      </c>
      <c r="W138" t="s">
        <v>8</v>
      </c>
      <c r="X138" t="s">
        <v>8</v>
      </c>
      <c r="Y138" t="s">
        <v>8</v>
      </c>
      <c r="Z138" t="s">
        <v>8</v>
      </c>
      <c r="AA138" t="s">
        <v>8</v>
      </c>
      <c r="AB138" t="s">
        <v>8</v>
      </c>
    </row>
    <row r="139" spans="1:28" x14ac:dyDescent="0.25">
      <c r="A139">
        <v>137</v>
      </c>
      <c r="B139" t="s">
        <v>536</v>
      </c>
      <c r="C139" t="s">
        <v>90</v>
      </c>
      <c r="E139">
        <v>0.3</v>
      </c>
      <c r="F139">
        <v>2.1</v>
      </c>
      <c r="K139">
        <v>2.1</v>
      </c>
      <c r="L139" t="s">
        <v>8</v>
      </c>
      <c r="M139" t="s">
        <v>8</v>
      </c>
      <c r="N139" t="s">
        <v>8</v>
      </c>
      <c r="O139">
        <v>0</v>
      </c>
      <c r="P139">
        <v>0</v>
      </c>
      <c r="Q139" t="s">
        <v>8</v>
      </c>
      <c r="R139">
        <v>0</v>
      </c>
      <c r="S139">
        <v>0</v>
      </c>
      <c r="T139">
        <v>0</v>
      </c>
      <c r="U139">
        <v>0</v>
      </c>
      <c r="V139" t="s">
        <v>8</v>
      </c>
      <c r="W139" t="s">
        <v>8</v>
      </c>
      <c r="X139" t="s">
        <v>8</v>
      </c>
      <c r="Y139" t="s">
        <v>8</v>
      </c>
      <c r="Z139" t="s">
        <v>8</v>
      </c>
      <c r="AA139" t="s">
        <v>8</v>
      </c>
      <c r="AB139" t="s">
        <v>8</v>
      </c>
    </row>
    <row r="140" spans="1:28" x14ac:dyDescent="0.25">
      <c r="A140">
        <v>139</v>
      </c>
      <c r="B140" t="s">
        <v>533</v>
      </c>
      <c r="C140" t="s">
        <v>90</v>
      </c>
      <c r="E140">
        <v>0.5</v>
      </c>
      <c r="F140">
        <v>1.9</v>
      </c>
      <c r="K140" t="s">
        <v>8</v>
      </c>
      <c r="L140" t="s">
        <v>8</v>
      </c>
      <c r="M140" t="s">
        <v>8</v>
      </c>
      <c r="N140" t="s">
        <v>8</v>
      </c>
      <c r="O140" t="s">
        <v>8</v>
      </c>
      <c r="P140">
        <v>1</v>
      </c>
      <c r="Q140" t="s">
        <v>8</v>
      </c>
      <c r="R140" t="s">
        <v>8</v>
      </c>
      <c r="S140" t="s">
        <v>8</v>
      </c>
      <c r="T140" t="s">
        <v>8</v>
      </c>
      <c r="U140">
        <v>0</v>
      </c>
      <c r="V140">
        <v>0.6</v>
      </c>
      <c r="W140" t="s">
        <v>8</v>
      </c>
      <c r="X140" t="s">
        <v>8</v>
      </c>
      <c r="Y140" t="s">
        <v>8</v>
      </c>
      <c r="Z140" t="s">
        <v>8</v>
      </c>
      <c r="AA140" t="s">
        <v>8</v>
      </c>
      <c r="AB140">
        <v>0.3</v>
      </c>
    </row>
    <row r="141" spans="1:28" x14ac:dyDescent="0.25">
      <c r="A141">
        <v>140</v>
      </c>
      <c r="B141" t="s">
        <v>540</v>
      </c>
      <c r="C141" t="s">
        <v>78</v>
      </c>
      <c r="E141">
        <v>1.7</v>
      </c>
      <c r="F141">
        <v>1.7</v>
      </c>
      <c r="K141">
        <v>1.7</v>
      </c>
      <c r="L141" t="s">
        <v>8</v>
      </c>
      <c r="M141" t="s">
        <v>8</v>
      </c>
      <c r="N141" t="s">
        <v>8</v>
      </c>
      <c r="O141" t="s">
        <v>8</v>
      </c>
      <c r="P141" t="s">
        <v>7</v>
      </c>
      <c r="Q141" t="s">
        <v>8</v>
      </c>
      <c r="R141" t="s">
        <v>8</v>
      </c>
      <c r="S141" t="s">
        <v>8</v>
      </c>
      <c r="T141" t="s">
        <v>8</v>
      </c>
      <c r="U141" t="s">
        <v>8</v>
      </c>
      <c r="V141" t="s">
        <v>8</v>
      </c>
      <c r="W141" t="s">
        <v>8</v>
      </c>
      <c r="X141" t="s">
        <v>8</v>
      </c>
      <c r="Y141" t="s">
        <v>8</v>
      </c>
      <c r="Z141" t="s">
        <v>8</v>
      </c>
      <c r="AA141" t="s">
        <v>8</v>
      </c>
      <c r="AB141" t="s">
        <v>8</v>
      </c>
    </row>
    <row r="142" spans="1:28" x14ac:dyDescent="0.25">
      <c r="A142">
        <v>141</v>
      </c>
      <c r="B142" t="s">
        <v>539</v>
      </c>
      <c r="C142" t="s">
        <v>40</v>
      </c>
      <c r="E142">
        <v>0.2</v>
      </c>
      <c r="F142">
        <v>1.3</v>
      </c>
      <c r="K142" t="s">
        <v>8</v>
      </c>
      <c r="L142" t="s">
        <v>8</v>
      </c>
      <c r="M142" t="s">
        <v>8</v>
      </c>
      <c r="N142" t="s">
        <v>8</v>
      </c>
      <c r="O142" t="s">
        <v>8</v>
      </c>
      <c r="P142" t="s">
        <v>8</v>
      </c>
      <c r="Q142">
        <v>0</v>
      </c>
      <c r="R142" t="s">
        <v>8</v>
      </c>
      <c r="S142" t="s">
        <v>8</v>
      </c>
      <c r="T142">
        <v>0.9</v>
      </c>
      <c r="U142" t="s">
        <v>8</v>
      </c>
      <c r="V142">
        <v>0</v>
      </c>
      <c r="W142" t="s">
        <v>8</v>
      </c>
      <c r="X142">
        <v>0.3</v>
      </c>
      <c r="Y142">
        <v>0.1</v>
      </c>
      <c r="Z142">
        <v>0</v>
      </c>
      <c r="AA142">
        <v>0</v>
      </c>
      <c r="AB142">
        <v>0</v>
      </c>
    </row>
    <row r="143" spans="1:28" x14ac:dyDescent="0.25">
      <c r="A143">
        <v>141</v>
      </c>
      <c r="B143" t="s">
        <v>542</v>
      </c>
      <c r="C143" t="s">
        <v>22</v>
      </c>
      <c r="E143">
        <v>0.1</v>
      </c>
      <c r="F143">
        <v>1.3</v>
      </c>
      <c r="K143">
        <v>0</v>
      </c>
      <c r="L143">
        <v>1.3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8</v>
      </c>
      <c r="T143">
        <v>0</v>
      </c>
      <c r="U143">
        <v>0</v>
      </c>
      <c r="V143">
        <v>0</v>
      </c>
      <c r="W143" t="s">
        <v>7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143</v>
      </c>
      <c r="B144" t="s">
        <v>541</v>
      </c>
      <c r="C144" t="s">
        <v>90</v>
      </c>
      <c r="E144">
        <v>0.2</v>
      </c>
      <c r="F144">
        <v>1.1000000000000001</v>
      </c>
      <c r="K144" t="s">
        <v>8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t="s">
        <v>8</v>
      </c>
      <c r="R144">
        <v>0</v>
      </c>
      <c r="S144" t="s">
        <v>8</v>
      </c>
      <c r="T144" t="s">
        <v>8</v>
      </c>
      <c r="U144" t="s">
        <v>8</v>
      </c>
      <c r="V144" t="s">
        <v>8</v>
      </c>
      <c r="W144" t="s">
        <v>8</v>
      </c>
      <c r="X144">
        <v>0</v>
      </c>
      <c r="Y144" t="s">
        <v>8</v>
      </c>
      <c r="Z144">
        <v>0</v>
      </c>
      <c r="AA144">
        <v>1.1000000000000001</v>
      </c>
      <c r="AB144">
        <v>0</v>
      </c>
    </row>
    <row r="145" spans="1:28" x14ac:dyDescent="0.25">
      <c r="A145">
        <v>144</v>
      </c>
      <c r="B145" t="s">
        <v>543</v>
      </c>
      <c r="C145" t="s">
        <v>90</v>
      </c>
      <c r="E145">
        <v>1</v>
      </c>
      <c r="F145">
        <v>1</v>
      </c>
      <c r="K145" t="s">
        <v>8</v>
      </c>
      <c r="L145" t="s">
        <v>8</v>
      </c>
      <c r="M145" t="s">
        <v>8</v>
      </c>
      <c r="N145" t="s">
        <v>8</v>
      </c>
      <c r="O145" t="s">
        <v>8</v>
      </c>
      <c r="P145" t="s">
        <v>8</v>
      </c>
      <c r="Q145" t="s">
        <v>8</v>
      </c>
      <c r="R145" t="s">
        <v>8</v>
      </c>
      <c r="S145" t="s">
        <v>8</v>
      </c>
      <c r="T145" t="s">
        <v>8</v>
      </c>
      <c r="U145" t="s">
        <v>8</v>
      </c>
      <c r="V145" t="s">
        <v>8</v>
      </c>
      <c r="W145">
        <v>1</v>
      </c>
      <c r="X145" t="s">
        <v>8</v>
      </c>
      <c r="Y145" t="s">
        <v>8</v>
      </c>
      <c r="Z145" t="s">
        <v>8</v>
      </c>
      <c r="AA145" t="s">
        <v>8</v>
      </c>
      <c r="AB145" t="s">
        <v>8</v>
      </c>
    </row>
    <row r="146" spans="1:28" x14ac:dyDescent="0.25">
      <c r="A146">
        <v>145</v>
      </c>
      <c r="B146" t="s">
        <v>544</v>
      </c>
      <c r="C146" t="s">
        <v>90</v>
      </c>
      <c r="E146">
        <v>0</v>
      </c>
      <c r="F146">
        <v>0</v>
      </c>
      <c r="K146" t="s">
        <v>8</v>
      </c>
      <c r="L146" t="s">
        <v>8</v>
      </c>
      <c r="M146" t="s">
        <v>8</v>
      </c>
      <c r="N146" t="s">
        <v>8</v>
      </c>
      <c r="O146" t="s">
        <v>8</v>
      </c>
      <c r="P146" t="s">
        <v>8</v>
      </c>
      <c r="Q146" t="s">
        <v>8</v>
      </c>
      <c r="R146" t="s">
        <v>8</v>
      </c>
      <c r="S146" t="s">
        <v>8</v>
      </c>
      <c r="T146" t="s">
        <v>8</v>
      </c>
      <c r="U146" t="s">
        <v>8</v>
      </c>
      <c r="V146" t="s">
        <v>8</v>
      </c>
      <c r="W146" t="s">
        <v>8</v>
      </c>
      <c r="X146" t="s">
        <v>8</v>
      </c>
      <c r="Y146" t="s">
        <v>8</v>
      </c>
      <c r="Z146" t="s">
        <v>8</v>
      </c>
      <c r="AA146">
        <v>0</v>
      </c>
      <c r="AB146" t="s">
        <v>8</v>
      </c>
    </row>
    <row r="147" spans="1:28" x14ac:dyDescent="0.25">
      <c r="A147">
        <v>145</v>
      </c>
      <c r="B147" t="s">
        <v>99</v>
      </c>
      <c r="C147" t="s">
        <v>60</v>
      </c>
      <c r="E147">
        <v>0</v>
      </c>
      <c r="F147">
        <v>0</v>
      </c>
      <c r="K147" t="s">
        <v>8</v>
      </c>
      <c r="L147" t="s">
        <v>8</v>
      </c>
      <c r="M147" t="s">
        <v>8</v>
      </c>
      <c r="N147" t="s">
        <v>8</v>
      </c>
      <c r="O147" t="s">
        <v>8</v>
      </c>
      <c r="P147" t="s">
        <v>8</v>
      </c>
      <c r="Q147" t="s">
        <v>8</v>
      </c>
      <c r="R147" t="s">
        <v>8</v>
      </c>
      <c r="S147" t="s">
        <v>8</v>
      </c>
      <c r="T147" t="s">
        <v>8</v>
      </c>
      <c r="U147" t="s">
        <v>8</v>
      </c>
      <c r="V147" t="s">
        <v>8</v>
      </c>
      <c r="W147" t="s">
        <v>8</v>
      </c>
      <c r="X147" t="s">
        <v>7</v>
      </c>
      <c r="Y147" t="s">
        <v>8</v>
      </c>
      <c r="Z147">
        <v>0</v>
      </c>
      <c r="AA147" t="s">
        <v>8</v>
      </c>
      <c r="AB147">
        <v>0</v>
      </c>
    </row>
    <row r="148" spans="1:28" x14ac:dyDescent="0.25">
      <c r="A148">
        <v>145</v>
      </c>
      <c r="B148" t="s">
        <v>545</v>
      </c>
      <c r="C148" t="s">
        <v>90</v>
      </c>
      <c r="E148">
        <v>0</v>
      </c>
      <c r="F148">
        <v>0</v>
      </c>
      <c r="K148" t="s">
        <v>8</v>
      </c>
      <c r="L148" t="s">
        <v>8</v>
      </c>
      <c r="M148" t="s">
        <v>8</v>
      </c>
      <c r="N148" t="s">
        <v>8</v>
      </c>
      <c r="O148" t="s">
        <v>8</v>
      </c>
      <c r="P148" t="s">
        <v>8</v>
      </c>
      <c r="Q148" t="s">
        <v>8</v>
      </c>
      <c r="R148" t="s">
        <v>8</v>
      </c>
      <c r="S148" t="s">
        <v>8</v>
      </c>
      <c r="T148" t="s">
        <v>8</v>
      </c>
      <c r="U148" t="s">
        <v>8</v>
      </c>
      <c r="V148">
        <v>0</v>
      </c>
      <c r="W148">
        <v>0</v>
      </c>
      <c r="X148" t="s">
        <v>8</v>
      </c>
      <c r="Y148" t="s">
        <v>8</v>
      </c>
      <c r="Z148" t="s">
        <v>8</v>
      </c>
      <c r="AA148" t="s">
        <v>8</v>
      </c>
      <c r="AB148" t="s">
        <v>8</v>
      </c>
    </row>
    <row r="149" spans="1:28" x14ac:dyDescent="0.25">
      <c r="A149">
        <v>145</v>
      </c>
      <c r="B149" t="s">
        <v>546</v>
      </c>
      <c r="C149" t="s">
        <v>90</v>
      </c>
      <c r="E149">
        <v>0</v>
      </c>
      <c r="F149">
        <v>0</v>
      </c>
      <c r="K149" t="s">
        <v>8</v>
      </c>
      <c r="L149" t="s">
        <v>8</v>
      </c>
      <c r="M149" t="s">
        <v>8</v>
      </c>
      <c r="N149" t="s">
        <v>8</v>
      </c>
      <c r="O149" t="s">
        <v>8</v>
      </c>
      <c r="P149" t="s">
        <v>8</v>
      </c>
      <c r="Q149">
        <v>0</v>
      </c>
      <c r="R149">
        <v>0</v>
      </c>
      <c r="S149" t="s">
        <v>8</v>
      </c>
      <c r="T149" t="s">
        <v>8</v>
      </c>
      <c r="U149" t="s">
        <v>8</v>
      </c>
      <c r="V149" t="s">
        <v>8</v>
      </c>
      <c r="W149" t="s">
        <v>8</v>
      </c>
      <c r="X149" t="s">
        <v>8</v>
      </c>
      <c r="Y149" t="s">
        <v>8</v>
      </c>
      <c r="Z149" t="s">
        <v>8</v>
      </c>
      <c r="AA149" t="s">
        <v>8</v>
      </c>
      <c r="AB149" t="s">
        <v>8</v>
      </c>
    </row>
    <row r="150" spans="1:28" x14ac:dyDescent="0.25">
      <c r="A150">
        <v>145</v>
      </c>
      <c r="B150" t="s">
        <v>547</v>
      </c>
      <c r="C150" t="s">
        <v>90</v>
      </c>
      <c r="E150">
        <v>0</v>
      </c>
      <c r="F150">
        <v>0</v>
      </c>
      <c r="K150" t="s">
        <v>8</v>
      </c>
      <c r="L150" t="s">
        <v>8</v>
      </c>
      <c r="M150" t="s">
        <v>8</v>
      </c>
      <c r="N150" t="s">
        <v>8</v>
      </c>
      <c r="O150" t="s">
        <v>8</v>
      </c>
      <c r="P150" t="s">
        <v>8</v>
      </c>
      <c r="Q150" t="s">
        <v>8</v>
      </c>
      <c r="R150" t="s">
        <v>8</v>
      </c>
      <c r="S150" t="s">
        <v>8</v>
      </c>
      <c r="T150" t="s">
        <v>8</v>
      </c>
      <c r="U150">
        <v>0</v>
      </c>
      <c r="V150" t="s">
        <v>8</v>
      </c>
      <c r="W150" t="s">
        <v>8</v>
      </c>
      <c r="X150" t="s">
        <v>8</v>
      </c>
      <c r="Y150" t="s">
        <v>8</v>
      </c>
      <c r="Z150" t="s">
        <v>8</v>
      </c>
      <c r="AA150" t="s">
        <v>8</v>
      </c>
      <c r="AB150" t="s">
        <v>8</v>
      </c>
    </row>
    <row r="151" spans="1:28" x14ac:dyDescent="0.25">
      <c r="A151">
        <v>145</v>
      </c>
      <c r="B151" t="s">
        <v>558</v>
      </c>
      <c r="C151" t="s">
        <v>90</v>
      </c>
      <c r="E151">
        <v>0</v>
      </c>
      <c r="F151">
        <v>0</v>
      </c>
      <c r="K151" t="s">
        <v>8</v>
      </c>
      <c r="L151" t="s">
        <v>8</v>
      </c>
      <c r="M151" t="s">
        <v>8</v>
      </c>
      <c r="N151">
        <v>0</v>
      </c>
      <c r="O151" t="s">
        <v>8</v>
      </c>
      <c r="P151" t="s">
        <v>8</v>
      </c>
      <c r="Q151" t="s">
        <v>8</v>
      </c>
      <c r="R151" t="s">
        <v>8</v>
      </c>
      <c r="S151" t="s">
        <v>8</v>
      </c>
      <c r="T151" t="s">
        <v>8</v>
      </c>
      <c r="U151" t="s">
        <v>8</v>
      </c>
      <c r="V151" t="s">
        <v>8</v>
      </c>
      <c r="W151" t="s">
        <v>8</v>
      </c>
      <c r="X151" t="s">
        <v>8</v>
      </c>
      <c r="Y151" t="s">
        <v>8</v>
      </c>
      <c r="Z151" t="s">
        <v>8</v>
      </c>
      <c r="AA151" t="s">
        <v>8</v>
      </c>
      <c r="AB151" t="s">
        <v>8</v>
      </c>
    </row>
    <row r="152" spans="1:28" x14ac:dyDescent="0.25">
      <c r="A152">
        <v>145</v>
      </c>
      <c r="B152" t="s">
        <v>549</v>
      </c>
      <c r="C152" t="s">
        <v>90</v>
      </c>
      <c r="E152">
        <v>0</v>
      </c>
      <c r="F152">
        <v>0</v>
      </c>
      <c r="K152" t="s">
        <v>8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  <c r="Q152">
        <v>0</v>
      </c>
      <c r="R152">
        <v>0</v>
      </c>
      <c r="S152" t="s">
        <v>8</v>
      </c>
      <c r="T152">
        <v>0</v>
      </c>
      <c r="U152" t="s">
        <v>8</v>
      </c>
      <c r="V152" t="s">
        <v>8</v>
      </c>
      <c r="W152">
        <v>0</v>
      </c>
      <c r="X152" t="s">
        <v>8</v>
      </c>
      <c r="Y152" t="s">
        <v>8</v>
      </c>
      <c r="Z152" t="s">
        <v>8</v>
      </c>
      <c r="AA152" t="s">
        <v>8</v>
      </c>
      <c r="AB152" t="s">
        <v>8</v>
      </c>
    </row>
    <row r="153" spans="1:28" x14ac:dyDescent="0.25">
      <c r="A153">
        <v>145</v>
      </c>
      <c r="B153" t="s">
        <v>550</v>
      </c>
      <c r="C153" t="s">
        <v>90</v>
      </c>
      <c r="E153">
        <v>0</v>
      </c>
      <c r="F153">
        <v>0</v>
      </c>
      <c r="K153">
        <v>0</v>
      </c>
      <c r="L153" t="s">
        <v>8</v>
      </c>
      <c r="M153" t="s">
        <v>8</v>
      </c>
      <c r="N153" t="s">
        <v>8</v>
      </c>
      <c r="O153" t="s">
        <v>8</v>
      </c>
      <c r="P153" t="s">
        <v>8</v>
      </c>
      <c r="Q153">
        <v>0</v>
      </c>
      <c r="R153">
        <v>0</v>
      </c>
      <c r="S153">
        <v>0</v>
      </c>
      <c r="T153" t="s">
        <v>8</v>
      </c>
      <c r="U153" t="s">
        <v>8</v>
      </c>
      <c r="V153" t="s">
        <v>8</v>
      </c>
      <c r="W153">
        <v>0</v>
      </c>
      <c r="X153">
        <v>0</v>
      </c>
      <c r="Y153">
        <v>0</v>
      </c>
      <c r="Z153" t="s">
        <v>8</v>
      </c>
      <c r="AA153">
        <v>0</v>
      </c>
      <c r="AB153" t="s">
        <v>8</v>
      </c>
    </row>
    <row r="154" spans="1:28" x14ac:dyDescent="0.25">
      <c r="A154">
        <v>145</v>
      </c>
      <c r="B154" t="s">
        <v>548</v>
      </c>
      <c r="C154" t="s">
        <v>90</v>
      </c>
      <c r="E154">
        <v>0</v>
      </c>
      <c r="F154">
        <v>0</v>
      </c>
      <c r="K154" t="s">
        <v>8</v>
      </c>
      <c r="L154" t="s">
        <v>8</v>
      </c>
      <c r="M154" t="s">
        <v>8</v>
      </c>
      <c r="N154" t="s">
        <v>8</v>
      </c>
      <c r="O154" t="s">
        <v>8</v>
      </c>
      <c r="P154" t="s">
        <v>8</v>
      </c>
      <c r="Q154">
        <v>0</v>
      </c>
      <c r="R154" t="s">
        <v>8</v>
      </c>
      <c r="S154" t="s">
        <v>8</v>
      </c>
      <c r="T154" t="s">
        <v>8</v>
      </c>
      <c r="U154" t="s">
        <v>8</v>
      </c>
      <c r="V154" t="s">
        <v>8</v>
      </c>
      <c r="W154" t="s">
        <v>8</v>
      </c>
      <c r="X154" t="s">
        <v>8</v>
      </c>
      <c r="Y154" t="s">
        <v>8</v>
      </c>
      <c r="Z154" t="s">
        <v>8</v>
      </c>
      <c r="AA154" t="s">
        <v>8</v>
      </c>
      <c r="AB154" t="s">
        <v>8</v>
      </c>
    </row>
    <row r="155" spans="1:28" x14ac:dyDescent="0.25">
      <c r="A155">
        <v>145</v>
      </c>
      <c r="B155" t="s">
        <v>551</v>
      </c>
      <c r="C155" t="s">
        <v>90</v>
      </c>
      <c r="E155">
        <v>0</v>
      </c>
      <c r="F155">
        <v>0</v>
      </c>
      <c r="K155" t="s">
        <v>8</v>
      </c>
      <c r="L155" t="s">
        <v>8</v>
      </c>
      <c r="M155" t="s">
        <v>8</v>
      </c>
      <c r="N155" t="s">
        <v>8</v>
      </c>
      <c r="O155" t="s">
        <v>8</v>
      </c>
      <c r="P155">
        <v>0</v>
      </c>
      <c r="Q155" t="s">
        <v>8</v>
      </c>
      <c r="R155" t="s">
        <v>8</v>
      </c>
      <c r="S155" t="s">
        <v>8</v>
      </c>
      <c r="T155" t="s">
        <v>8</v>
      </c>
      <c r="U155" t="s">
        <v>8</v>
      </c>
      <c r="V155" t="s">
        <v>8</v>
      </c>
      <c r="W155" t="s">
        <v>8</v>
      </c>
      <c r="X155" t="s">
        <v>8</v>
      </c>
      <c r="Y155">
        <v>0</v>
      </c>
      <c r="Z155" t="s">
        <v>8</v>
      </c>
      <c r="AA155" t="s">
        <v>8</v>
      </c>
      <c r="AB155" t="s">
        <v>8</v>
      </c>
    </row>
    <row r="156" spans="1:28" x14ac:dyDescent="0.25">
      <c r="A156">
        <v>145</v>
      </c>
      <c r="B156" t="s">
        <v>552</v>
      </c>
      <c r="C156" t="s">
        <v>90</v>
      </c>
      <c r="E156">
        <v>0</v>
      </c>
      <c r="F156">
        <v>0</v>
      </c>
      <c r="K156" t="s">
        <v>8</v>
      </c>
      <c r="L156" t="s">
        <v>8</v>
      </c>
      <c r="M156" t="s">
        <v>8</v>
      </c>
      <c r="N156" t="s">
        <v>8</v>
      </c>
      <c r="O156" t="s">
        <v>8</v>
      </c>
      <c r="P156">
        <v>0</v>
      </c>
      <c r="Q156" t="s">
        <v>8</v>
      </c>
      <c r="R156" t="s">
        <v>8</v>
      </c>
      <c r="S156" t="s">
        <v>8</v>
      </c>
      <c r="T156" t="s">
        <v>8</v>
      </c>
      <c r="U156" t="s">
        <v>8</v>
      </c>
      <c r="V156" t="s">
        <v>8</v>
      </c>
      <c r="W156" t="s">
        <v>8</v>
      </c>
      <c r="X156" t="s">
        <v>8</v>
      </c>
      <c r="Y156" t="s">
        <v>8</v>
      </c>
      <c r="Z156">
        <v>0</v>
      </c>
      <c r="AA156" t="s">
        <v>8</v>
      </c>
      <c r="AB156" t="s">
        <v>8</v>
      </c>
    </row>
    <row r="157" spans="1:28" x14ac:dyDescent="0.25">
      <c r="A157">
        <v>145</v>
      </c>
      <c r="B157" t="s">
        <v>553</v>
      </c>
      <c r="C157" t="s">
        <v>47</v>
      </c>
      <c r="E157">
        <v>0</v>
      </c>
      <c r="F157">
        <v>0</v>
      </c>
      <c r="K157">
        <v>0</v>
      </c>
      <c r="L157">
        <v>0</v>
      </c>
      <c r="M157" t="s">
        <v>8</v>
      </c>
      <c r="N157" t="s">
        <v>8</v>
      </c>
      <c r="O157" t="s">
        <v>8</v>
      </c>
      <c r="P157" t="s">
        <v>8</v>
      </c>
      <c r="Q157" t="s">
        <v>7</v>
      </c>
      <c r="R157" t="s">
        <v>8</v>
      </c>
      <c r="S157" t="s">
        <v>8</v>
      </c>
      <c r="T157" t="s">
        <v>8</v>
      </c>
      <c r="U157" t="s">
        <v>8</v>
      </c>
      <c r="V157" t="s">
        <v>8</v>
      </c>
      <c r="W157" t="s">
        <v>8</v>
      </c>
      <c r="X157" t="s">
        <v>8</v>
      </c>
      <c r="Y157" t="s">
        <v>8</v>
      </c>
      <c r="Z157" t="s">
        <v>8</v>
      </c>
      <c r="AA157" t="s">
        <v>8</v>
      </c>
      <c r="AB157" t="s">
        <v>8</v>
      </c>
    </row>
    <row r="158" spans="1:28" x14ac:dyDescent="0.25">
      <c r="A158">
        <v>145</v>
      </c>
      <c r="B158" t="s">
        <v>556</v>
      </c>
      <c r="C158" t="s">
        <v>90</v>
      </c>
      <c r="E158">
        <v>0</v>
      </c>
      <c r="F158">
        <v>0</v>
      </c>
      <c r="K158">
        <v>0</v>
      </c>
      <c r="L158" t="s">
        <v>8</v>
      </c>
      <c r="M158" t="s">
        <v>8</v>
      </c>
      <c r="N158" t="s">
        <v>8</v>
      </c>
      <c r="O158" t="s">
        <v>8</v>
      </c>
      <c r="P158" t="s">
        <v>8</v>
      </c>
      <c r="Q158" t="s">
        <v>8</v>
      </c>
      <c r="R158" t="s">
        <v>8</v>
      </c>
      <c r="S158" t="s">
        <v>8</v>
      </c>
      <c r="T158" t="s">
        <v>8</v>
      </c>
      <c r="U158">
        <v>0</v>
      </c>
      <c r="V158" t="s">
        <v>8</v>
      </c>
      <c r="W158" t="s">
        <v>8</v>
      </c>
      <c r="X158" t="s">
        <v>8</v>
      </c>
      <c r="Y158" t="s">
        <v>8</v>
      </c>
      <c r="Z158" t="s">
        <v>8</v>
      </c>
      <c r="AA158" t="s">
        <v>8</v>
      </c>
      <c r="AB158" t="s">
        <v>8</v>
      </c>
    </row>
    <row r="159" spans="1:28" x14ac:dyDescent="0.25">
      <c r="A159">
        <v>145</v>
      </c>
      <c r="B159" t="s">
        <v>557</v>
      </c>
      <c r="C159" t="s">
        <v>43</v>
      </c>
      <c r="E159">
        <v>0</v>
      </c>
      <c r="F159">
        <v>0</v>
      </c>
      <c r="K159">
        <v>0</v>
      </c>
      <c r="L159" t="s">
        <v>8</v>
      </c>
      <c r="M159">
        <v>0</v>
      </c>
      <c r="N159">
        <v>0</v>
      </c>
      <c r="O159" t="s">
        <v>8</v>
      </c>
      <c r="P159" t="s">
        <v>8</v>
      </c>
      <c r="Q159">
        <v>0</v>
      </c>
      <c r="R159">
        <v>0</v>
      </c>
      <c r="S159" t="s">
        <v>8</v>
      </c>
      <c r="T159" t="s">
        <v>8</v>
      </c>
      <c r="U159" t="s">
        <v>8</v>
      </c>
      <c r="V159">
        <v>0</v>
      </c>
      <c r="W159" t="s">
        <v>7</v>
      </c>
      <c r="X159">
        <v>0</v>
      </c>
      <c r="Y159">
        <v>0</v>
      </c>
      <c r="Z159" t="s">
        <v>8</v>
      </c>
      <c r="AA159" t="s">
        <v>8</v>
      </c>
      <c r="AB159">
        <v>0</v>
      </c>
    </row>
    <row r="160" spans="1:28" x14ac:dyDescent="0.25">
      <c r="A160">
        <v>145</v>
      </c>
      <c r="B160" t="s">
        <v>554</v>
      </c>
      <c r="C160" t="s">
        <v>90</v>
      </c>
      <c r="E160">
        <v>0</v>
      </c>
      <c r="F160">
        <v>0</v>
      </c>
      <c r="K160" t="s">
        <v>8</v>
      </c>
      <c r="L160" t="s">
        <v>8</v>
      </c>
      <c r="M160" t="s">
        <v>8</v>
      </c>
      <c r="N160" t="s">
        <v>8</v>
      </c>
      <c r="O160">
        <v>0</v>
      </c>
      <c r="P160" t="s">
        <v>8</v>
      </c>
      <c r="Q160" t="s">
        <v>8</v>
      </c>
      <c r="R160" t="s">
        <v>8</v>
      </c>
      <c r="S160" t="s">
        <v>8</v>
      </c>
      <c r="T160" t="s">
        <v>8</v>
      </c>
      <c r="U160">
        <v>0</v>
      </c>
      <c r="V160" t="s">
        <v>8</v>
      </c>
      <c r="W160" t="s">
        <v>8</v>
      </c>
      <c r="X160" t="s">
        <v>8</v>
      </c>
      <c r="Y160" t="s">
        <v>8</v>
      </c>
      <c r="Z160" t="s">
        <v>8</v>
      </c>
      <c r="AA160" t="s">
        <v>8</v>
      </c>
      <c r="AB160" t="s">
        <v>8</v>
      </c>
    </row>
    <row r="161" spans="1:28" x14ac:dyDescent="0.25">
      <c r="A161">
        <v>145</v>
      </c>
      <c r="B161" t="s">
        <v>555</v>
      </c>
      <c r="C161" t="s">
        <v>47</v>
      </c>
      <c r="E161">
        <v>0</v>
      </c>
      <c r="F161">
        <v>0</v>
      </c>
      <c r="K161" t="s">
        <v>8</v>
      </c>
      <c r="L161" t="s">
        <v>8</v>
      </c>
      <c r="M161" t="s">
        <v>8</v>
      </c>
      <c r="N161" t="s">
        <v>8</v>
      </c>
      <c r="O161">
        <v>0</v>
      </c>
      <c r="P161">
        <v>0</v>
      </c>
      <c r="Q161" t="s">
        <v>7</v>
      </c>
      <c r="R161" t="s">
        <v>8</v>
      </c>
      <c r="S161" t="s">
        <v>8</v>
      </c>
      <c r="T161" t="s">
        <v>8</v>
      </c>
      <c r="U161" t="s">
        <v>8</v>
      </c>
      <c r="V161" t="s">
        <v>8</v>
      </c>
      <c r="W161" t="s">
        <v>8</v>
      </c>
      <c r="X161" t="s">
        <v>8</v>
      </c>
      <c r="Y161" t="s">
        <v>8</v>
      </c>
      <c r="Z161" t="s">
        <v>8</v>
      </c>
      <c r="AA161" t="s">
        <v>8</v>
      </c>
      <c r="AB161">
        <v>0</v>
      </c>
    </row>
    <row r="162" spans="1:28" x14ac:dyDescent="0.25">
      <c r="A162">
        <v>145</v>
      </c>
      <c r="B162" t="s">
        <v>559</v>
      </c>
      <c r="C162" t="s">
        <v>90</v>
      </c>
      <c r="E162">
        <v>0</v>
      </c>
      <c r="F162">
        <v>0</v>
      </c>
      <c r="K162" t="s">
        <v>8</v>
      </c>
      <c r="L162" t="s">
        <v>8</v>
      </c>
      <c r="M162" t="s">
        <v>8</v>
      </c>
      <c r="N162">
        <v>0</v>
      </c>
      <c r="O162">
        <v>0</v>
      </c>
      <c r="P162" t="s">
        <v>8</v>
      </c>
      <c r="Q162" t="s">
        <v>8</v>
      </c>
      <c r="R162" t="s">
        <v>8</v>
      </c>
      <c r="S162" t="s">
        <v>8</v>
      </c>
      <c r="T162" t="s">
        <v>8</v>
      </c>
      <c r="U162" t="s">
        <v>8</v>
      </c>
      <c r="V162" t="s">
        <v>8</v>
      </c>
      <c r="W162" t="s">
        <v>8</v>
      </c>
      <c r="X162" t="s">
        <v>8</v>
      </c>
      <c r="Y162" t="s">
        <v>8</v>
      </c>
      <c r="Z162" t="s">
        <v>8</v>
      </c>
      <c r="AA162" t="s">
        <v>8</v>
      </c>
      <c r="AB162" t="s">
        <v>8</v>
      </c>
    </row>
    <row r="163" spans="1:28" x14ac:dyDescent="0.25">
      <c r="A163">
        <v>145</v>
      </c>
      <c r="B163" t="s">
        <v>560</v>
      </c>
      <c r="C163" t="s">
        <v>90</v>
      </c>
      <c r="E163">
        <v>0</v>
      </c>
      <c r="F163">
        <v>0</v>
      </c>
      <c r="K163" t="s">
        <v>8</v>
      </c>
      <c r="L163" t="s">
        <v>8</v>
      </c>
      <c r="M163" t="s">
        <v>8</v>
      </c>
      <c r="N163" t="s">
        <v>8</v>
      </c>
      <c r="O163" t="s">
        <v>8</v>
      </c>
      <c r="P163" t="s">
        <v>8</v>
      </c>
      <c r="Q163" t="s">
        <v>8</v>
      </c>
      <c r="R163" t="s">
        <v>8</v>
      </c>
      <c r="S163" t="s">
        <v>8</v>
      </c>
      <c r="T163" t="s">
        <v>8</v>
      </c>
      <c r="U163" t="s">
        <v>8</v>
      </c>
      <c r="V163" t="s">
        <v>8</v>
      </c>
      <c r="W163" t="s">
        <v>8</v>
      </c>
      <c r="X163" t="s">
        <v>8</v>
      </c>
      <c r="Y163" t="s">
        <v>8</v>
      </c>
      <c r="Z163" t="s">
        <v>8</v>
      </c>
      <c r="AA163" t="s">
        <v>8</v>
      </c>
      <c r="AB163">
        <v>0</v>
      </c>
    </row>
    <row r="164" spans="1:28" x14ac:dyDescent="0.25">
      <c r="A164">
        <v>163</v>
      </c>
      <c r="B164" t="s">
        <v>561</v>
      </c>
      <c r="C164" t="s">
        <v>90</v>
      </c>
      <c r="E164">
        <v>-0.2</v>
      </c>
      <c r="F164">
        <v>-0.2</v>
      </c>
      <c r="K164" t="s">
        <v>8</v>
      </c>
      <c r="L164" t="s">
        <v>8</v>
      </c>
      <c r="M164" t="s">
        <v>8</v>
      </c>
      <c r="N164" t="s">
        <v>8</v>
      </c>
      <c r="O164" t="s">
        <v>8</v>
      </c>
      <c r="P164" t="s">
        <v>8</v>
      </c>
      <c r="Q164" t="s">
        <v>8</v>
      </c>
      <c r="R164" t="s">
        <v>8</v>
      </c>
      <c r="S164" t="s">
        <v>8</v>
      </c>
      <c r="T164" t="s">
        <v>8</v>
      </c>
      <c r="U164" t="s">
        <v>8</v>
      </c>
      <c r="V164" t="s">
        <v>8</v>
      </c>
      <c r="W164" t="s">
        <v>8</v>
      </c>
      <c r="X164" t="s">
        <v>8</v>
      </c>
      <c r="Y164">
        <v>-0.2</v>
      </c>
      <c r="Z164" t="s">
        <v>8</v>
      </c>
      <c r="AA164" t="s">
        <v>8</v>
      </c>
      <c r="AB164" t="s">
        <v>8</v>
      </c>
    </row>
  </sheetData>
  <conditionalFormatting sqref="K2:AB51">
    <cfRule type="cellIs" dxfId="12" priority="1" operator="lessThan">
      <formula>10.9</formula>
    </cfRule>
    <cfRule type="cellIs" dxfId="11" priority="2" operator="greaterThanOrEqual">
      <formula>10.9</formula>
    </cfRule>
  </conditionalFormatting>
  <conditionalFormatting sqref="AE37">
    <cfRule type="cellIs" dxfId="10" priority="3" operator="greaterThanOrEqual">
      <formula>10.9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628D-50B3-4140-A877-002DFCD5EBAB}">
  <dimension ref="A1:AF260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B32" sqref="B32"/>
    </sheetView>
  </sheetViews>
  <sheetFormatPr defaultColWidth="9.140625" defaultRowHeight="15" x14ac:dyDescent="0.25"/>
  <cols>
    <col min="1" max="1" width="4" style="4" bestFit="1" customWidth="1"/>
    <col min="2" max="2" width="24.42578125" style="5" bestFit="1" customWidth="1"/>
    <col min="3" max="3" width="5.85546875" style="4" bestFit="1" customWidth="1"/>
    <col min="4" max="4" width="5.85546875" style="4" customWidth="1"/>
    <col min="5" max="5" width="5" style="4" bestFit="1" customWidth="1"/>
    <col min="6" max="6" width="6" style="4" bestFit="1" customWidth="1"/>
    <col min="7" max="9" width="10.7109375" style="3" bestFit="1" customWidth="1"/>
    <col min="10" max="10" width="13.85546875" style="3" bestFit="1" customWidth="1"/>
    <col min="11" max="28" width="5" style="4" bestFit="1" customWidth="1"/>
    <col min="29" max="30" width="9.140625" style="3"/>
    <col min="31" max="31" width="3" style="3" bestFit="1" customWidth="1"/>
    <col min="32" max="16384" width="9.140625" style="3"/>
  </cols>
  <sheetData>
    <row r="1" spans="1:28" s="2" customFormat="1" x14ac:dyDescent="0.25">
      <c r="A1" s="1" t="s">
        <v>0</v>
      </c>
      <c r="B1" s="1" t="s">
        <v>1</v>
      </c>
      <c r="C1" s="1" t="s">
        <v>2</v>
      </c>
      <c r="D1" s="1" t="s">
        <v>462</v>
      </c>
      <c r="E1" s="1" t="s">
        <v>3</v>
      </c>
      <c r="F1" s="1" t="s">
        <v>4</v>
      </c>
      <c r="G1" s="2" t="s">
        <v>113</v>
      </c>
      <c r="H1" s="2" t="s">
        <v>114</v>
      </c>
      <c r="I1" s="2" t="s">
        <v>115</v>
      </c>
      <c r="J1" s="2" t="s">
        <v>112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</row>
    <row r="2" spans="1:28" x14ac:dyDescent="0.25">
      <c r="A2">
        <v>1</v>
      </c>
      <c r="B2" t="s">
        <v>123</v>
      </c>
      <c r="C2" t="s">
        <v>64</v>
      </c>
      <c r="D2" s="6">
        <f>MEDIAN(K2:AB2)</f>
        <v>19.100000000000001</v>
      </c>
      <c r="E2">
        <v>23.7</v>
      </c>
      <c r="F2">
        <v>403.2</v>
      </c>
      <c r="G2" s="3">
        <f t="shared" ref="G2:G65" si="0">COUNTIFS(K2:AB2,"&gt;=10",K2:AB2,"&lt;=99")</f>
        <v>16</v>
      </c>
      <c r="H2" s="3">
        <f t="shared" ref="H2:H65" si="1">COUNTIFS(K2:AB2,"&gt;=20",K2:AB2,"&lt;=99")</f>
        <v>8</v>
      </c>
      <c r="I2" s="3">
        <f t="shared" ref="I2:I65" si="2">COUNTIFS(K2:AB2,"&gt;=30",K2:AB2,"&lt;=99")</f>
        <v>5</v>
      </c>
      <c r="J2" s="3">
        <f t="shared" ref="J2:J65" si="3">COUNT(K2:AB2)</f>
        <v>17</v>
      </c>
      <c r="K2">
        <v>11.7</v>
      </c>
      <c r="L2">
        <v>25.3</v>
      </c>
      <c r="M2">
        <v>10.199999999999999</v>
      </c>
      <c r="N2">
        <v>14.8</v>
      </c>
      <c r="O2">
        <v>8.9</v>
      </c>
      <c r="P2">
        <v>18.7</v>
      </c>
      <c r="Q2" t="s">
        <v>7</v>
      </c>
      <c r="R2">
        <v>41</v>
      </c>
      <c r="S2">
        <v>28.1</v>
      </c>
      <c r="T2">
        <v>39.5</v>
      </c>
      <c r="U2">
        <v>16.5</v>
      </c>
      <c r="V2">
        <v>17.3</v>
      </c>
      <c r="W2">
        <v>32.6</v>
      </c>
      <c r="X2">
        <v>19.100000000000001</v>
      </c>
      <c r="Y2">
        <v>18.600000000000001</v>
      </c>
      <c r="Z2">
        <v>25.2</v>
      </c>
      <c r="AA2">
        <v>40.200000000000003</v>
      </c>
      <c r="AB2">
        <v>35.5</v>
      </c>
    </row>
    <row r="3" spans="1:28" x14ac:dyDescent="0.25">
      <c r="A3">
        <v>2</v>
      </c>
      <c r="B3" t="s">
        <v>136</v>
      </c>
      <c r="C3" t="s">
        <v>18</v>
      </c>
      <c r="D3" s="6">
        <f t="shared" ref="D3:D66" si="4">MEDIAN(K3:AB3)</f>
        <v>25.299999999999997</v>
      </c>
      <c r="E3">
        <v>23.5</v>
      </c>
      <c r="F3">
        <v>376.4</v>
      </c>
      <c r="G3" s="3">
        <f t="shared" si="0"/>
        <v>16</v>
      </c>
      <c r="H3" s="3">
        <f t="shared" si="1"/>
        <v>10</v>
      </c>
      <c r="I3" s="3">
        <f t="shared" si="2"/>
        <v>5</v>
      </c>
      <c r="J3" s="3">
        <f t="shared" si="3"/>
        <v>16</v>
      </c>
      <c r="K3">
        <v>44.5</v>
      </c>
      <c r="L3">
        <v>15</v>
      </c>
      <c r="M3">
        <v>30.7</v>
      </c>
      <c r="N3">
        <v>10.199999999999999</v>
      </c>
      <c r="O3">
        <v>32.1</v>
      </c>
      <c r="P3">
        <v>28.3</v>
      </c>
      <c r="Q3">
        <v>25.8</v>
      </c>
      <c r="R3">
        <v>25.2</v>
      </c>
      <c r="S3">
        <v>12.5</v>
      </c>
      <c r="T3" t="s">
        <v>7</v>
      </c>
      <c r="U3">
        <v>30.6</v>
      </c>
      <c r="V3">
        <v>25.4</v>
      </c>
      <c r="W3">
        <v>32.299999999999997</v>
      </c>
      <c r="X3">
        <v>10.1</v>
      </c>
      <c r="Y3" t="s">
        <v>8</v>
      </c>
      <c r="Z3">
        <v>18.899999999999999</v>
      </c>
      <c r="AA3">
        <v>13.6</v>
      </c>
      <c r="AB3">
        <v>21.2</v>
      </c>
    </row>
    <row r="4" spans="1:28" x14ac:dyDescent="0.25">
      <c r="A4">
        <v>3</v>
      </c>
      <c r="B4" t="s">
        <v>118</v>
      </c>
      <c r="C4" t="s">
        <v>10</v>
      </c>
      <c r="D4" s="6">
        <f t="shared" si="4"/>
        <v>20.65</v>
      </c>
      <c r="E4">
        <v>20.7</v>
      </c>
      <c r="F4">
        <v>330.9</v>
      </c>
      <c r="G4" s="3">
        <f t="shared" si="0"/>
        <v>15</v>
      </c>
      <c r="H4" s="3">
        <f t="shared" si="1"/>
        <v>8</v>
      </c>
      <c r="I4" s="3">
        <f t="shared" si="2"/>
        <v>2</v>
      </c>
      <c r="J4" s="3">
        <f t="shared" si="3"/>
        <v>16</v>
      </c>
      <c r="K4">
        <v>19.100000000000001</v>
      </c>
      <c r="L4">
        <v>14.2</v>
      </c>
      <c r="M4">
        <v>19.600000000000001</v>
      </c>
      <c r="N4">
        <v>16.600000000000001</v>
      </c>
      <c r="O4" t="s">
        <v>8</v>
      </c>
      <c r="P4">
        <v>30.4</v>
      </c>
      <c r="Q4">
        <v>23.2</v>
      </c>
      <c r="R4">
        <v>16.8</v>
      </c>
      <c r="S4" t="s">
        <v>7</v>
      </c>
      <c r="T4">
        <v>30.5</v>
      </c>
      <c r="U4">
        <v>21.7</v>
      </c>
      <c r="V4">
        <v>18.5</v>
      </c>
      <c r="W4">
        <v>12.9</v>
      </c>
      <c r="X4">
        <v>5.0999999999999996</v>
      </c>
      <c r="Y4">
        <v>24.2</v>
      </c>
      <c r="Z4">
        <v>28.6</v>
      </c>
      <c r="AA4">
        <v>22.1</v>
      </c>
      <c r="AB4">
        <v>27.4</v>
      </c>
    </row>
    <row r="5" spans="1:28" x14ac:dyDescent="0.25">
      <c r="A5">
        <v>4</v>
      </c>
      <c r="B5" t="s">
        <v>143</v>
      </c>
      <c r="C5" t="s">
        <v>20</v>
      </c>
      <c r="D5" s="6">
        <f t="shared" si="4"/>
        <v>18.7</v>
      </c>
      <c r="E5">
        <v>17.600000000000001</v>
      </c>
      <c r="F5">
        <v>298.5</v>
      </c>
      <c r="G5" s="3">
        <f t="shared" si="0"/>
        <v>13</v>
      </c>
      <c r="H5" s="3">
        <f t="shared" si="1"/>
        <v>7</v>
      </c>
      <c r="I5" s="3">
        <f t="shared" si="2"/>
        <v>3</v>
      </c>
      <c r="J5" s="3">
        <f t="shared" si="3"/>
        <v>17</v>
      </c>
      <c r="K5">
        <v>21.9</v>
      </c>
      <c r="L5">
        <v>30.1</v>
      </c>
      <c r="M5">
        <v>12.2</v>
      </c>
      <c r="N5">
        <v>31.3</v>
      </c>
      <c r="O5">
        <v>20.100000000000001</v>
      </c>
      <c r="P5">
        <v>6.6</v>
      </c>
      <c r="Q5">
        <v>23.4</v>
      </c>
      <c r="R5">
        <v>7.3</v>
      </c>
      <c r="S5">
        <v>6.2</v>
      </c>
      <c r="T5" t="s">
        <v>7</v>
      </c>
      <c r="U5">
        <v>18.7</v>
      </c>
      <c r="V5">
        <v>6.7</v>
      </c>
      <c r="W5">
        <v>23.9</v>
      </c>
      <c r="X5">
        <v>14</v>
      </c>
      <c r="Y5">
        <v>10.3</v>
      </c>
      <c r="Z5">
        <v>33</v>
      </c>
      <c r="AA5">
        <v>18.7</v>
      </c>
      <c r="AB5">
        <v>14.1</v>
      </c>
    </row>
    <row r="6" spans="1:28" x14ac:dyDescent="0.25">
      <c r="A6">
        <v>5</v>
      </c>
      <c r="B6" t="s">
        <v>133</v>
      </c>
      <c r="C6" t="s">
        <v>6</v>
      </c>
      <c r="D6" s="6">
        <f t="shared" si="4"/>
        <v>16.399999999999999</v>
      </c>
      <c r="E6">
        <v>17</v>
      </c>
      <c r="F6">
        <v>289.60000000000002</v>
      </c>
      <c r="G6" s="3">
        <f t="shared" si="0"/>
        <v>13</v>
      </c>
      <c r="H6" s="3">
        <f t="shared" si="1"/>
        <v>5</v>
      </c>
      <c r="I6" s="3">
        <f t="shared" si="2"/>
        <v>2</v>
      </c>
      <c r="J6" s="3">
        <f t="shared" si="3"/>
        <v>17</v>
      </c>
      <c r="K6">
        <v>14.9</v>
      </c>
      <c r="L6">
        <v>6.9</v>
      </c>
      <c r="M6">
        <v>22.1</v>
      </c>
      <c r="N6">
        <v>38.5</v>
      </c>
      <c r="O6">
        <v>18.7</v>
      </c>
      <c r="P6">
        <v>20.100000000000001</v>
      </c>
      <c r="Q6">
        <v>29.7</v>
      </c>
      <c r="R6">
        <v>33</v>
      </c>
      <c r="S6">
        <v>19.600000000000001</v>
      </c>
      <c r="T6" t="s">
        <v>7</v>
      </c>
      <c r="U6">
        <v>1.8</v>
      </c>
      <c r="V6">
        <v>14.7</v>
      </c>
      <c r="W6">
        <v>19.399999999999999</v>
      </c>
      <c r="X6">
        <v>16.399999999999999</v>
      </c>
      <c r="Y6">
        <v>10.6</v>
      </c>
      <c r="Z6">
        <v>14</v>
      </c>
      <c r="AA6">
        <v>9.3000000000000007</v>
      </c>
      <c r="AB6">
        <v>-0.1</v>
      </c>
    </row>
    <row r="7" spans="1:28" x14ac:dyDescent="0.25">
      <c r="A7">
        <v>6</v>
      </c>
      <c r="B7" t="s">
        <v>131</v>
      </c>
      <c r="C7" t="s">
        <v>43</v>
      </c>
      <c r="D7" s="6">
        <f t="shared" si="4"/>
        <v>13.1</v>
      </c>
      <c r="E7">
        <v>16.899999999999999</v>
      </c>
      <c r="F7">
        <v>286.5</v>
      </c>
      <c r="G7" s="3">
        <f t="shared" si="0"/>
        <v>12</v>
      </c>
      <c r="H7" s="3">
        <f t="shared" si="1"/>
        <v>6</v>
      </c>
      <c r="I7" s="3">
        <f t="shared" si="2"/>
        <v>2</v>
      </c>
      <c r="J7" s="3">
        <f t="shared" si="3"/>
        <v>17</v>
      </c>
      <c r="K7">
        <v>4.5</v>
      </c>
      <c r="L7">
        <v>16.399999999999999</v>
      </c>
      <c r="M7">
        <v>13.1</v>
      </c>
      <c r="N7">
        <v>27.1</v>
      </c>
      <c r="O7">
        <v>49</v>
      </c>
      <c r="P7">
        <v>10.1</v>
      </c>
      <c r="Q7">
        <v>13.4</v>
      </c>
      <c r="R7">
        <v>9.5</v>
      </c>
      <c r="S7">
        <v>5.4</v>
      </c>
      <c r="T7">
        <v>10.9</v>
      </c>
      <c r="U7">
        <v>22.6</v>
      </c>
      <c r="V7">
        <v>22.4</v>
      </c>
      <c r="W7" t="s">
        <v>7</v>
      </c>
      <c r="X7">
        <v>26.8</v>
      </c>
      <c r="Y7">
        <v>9.1999999999999993</v>
      </c>
      <c r="Z7">
        <v>4.8</v>
      </c>
      <c r="AA7">
        <v>30.9</v>
      </c>
      <c r="AB7">
        <v>10.4</v>
      </c>
    </row>
    <row r="8" spans="1:28" x14ac:dyDescent="0.25">
      <c r="A8">
        <v>7</v>
      </c>
      <c r="B8" t="s">
        <v>124</v>
      </c>
      <c r="C8" t="s">
        <v>34</v>
      </c>
      <c r="D8" s="6">
        <f t="shared" si="4"/>
        <v>15.7</v>
      </c>
      <c r="E8">
        <v>16.600000000000001</v>
      </c>
      <c r="F8">
        <v>282.5</v>
      </c>
      <c r="G8" s="3">
        <f t="shared" si="0"/>
        <v>13</v>
      </c>
      <c r="H8" s="3">
        <f t="shared" si="1"/>
        <v>6</v>
      </c>
      <c r="I8" s="3">
        <f t="shared" si="2"/>
        <v>0</v>
      </c>
      <c r="J8" s="3">
        <f t="shared" si="3"/>
        <v>17</v>
      </c>
      <c r="K8">
        <v>18.600000000000001</v>
      </c>
      <c r="L8">
        <v>29.1</v>
      </c>
      <c r="M8">
        <v>17</v>
      </c>
      <c r="N8">
        <v>7</v>
      </c>
      <c r="O8" t="s">
        <v>7</v>
      </c>
      <c r="P8">
        <v>8.9</v>
      </c>
      <c r="Q8">
        <v>20.2</v>
      </c>
      <c r="R8">
        <v>12.9</v>
      </c>
      <c r="S8">
        <v>12.7</v>
      </c>
      <c r="T8">
        <v>26.3</v>
      </c>
      <c r="U8">
        <v>15.3</v>
      </c>
      <c r="V8">
        <v>25</v>
      </c>
      <c r="W8">
        <v>29.2</v>
      </c>
      <c r="X8">
        <v>1.8</v>
      </c>
      <c r="Y8">
        <v>15.7</v>
      </c>
      <c r="Z8">
        <v>27.6</v>
      </c>
      <c r="AA8">
        <v>10</v>
      </c>
      <c r="AB8">
        <v>5.2</v>
      </c>
    </row>
    <row r="9" spans="1:28" x14ac:dyDescent="0.25">
      <c r="A9">
        <v>8</v>
      </c>
      <c r="B9" t="s">
        <v>150</v>
      </c>
      <c r="C9" t="s">
        <v>90</v>
      </c>
      <c r="D9" s="6">
        <f t="shared" si="4"/>
        <v>15.7</v>
      </c>
      <c r="E9">
        <v>21.5</v>
      </c>
      <c r="F9">
        <v>278.89999999999998</v>
      </c>
      <c r="G9" s="3">
        <f t="shared" si="0"/>
        <v>12</v>
      </c>
      <c r="H9" s="3">
        <f t="shared" si="1"/>
        <v>6</v>
      </c>
      <c r="I9" s="3">
        <f t="shared" si="2"/>
        <v>3</v>
      </c>
      <c r="J9" s="3">
        <f t="shared" si="3"/>
        <v>13</v>
      </c>
      <c r="K9">
        <v>14.2</v>
      </c>
      <c r="L9">
        <v>31.1</v>
      </c>
      <c r="M9">
        <v>45.5</v>
      </c>
      <c r="N9">
        <v>12.2</v>
      </c>
      <c r="O9" t="s">
        <v>8</v>
      </c>
      <c r="P9">
        <v>21.5</v>
      </c>
      <c r="Q9">
        <v>9.5</v>
      </c>
      <c r="R9">
        <v>14.9</v>
      </c>
      <c r="S9">
        <v>15.7</v>
      </c>
      <c r="T9">
        <v>40.5</v>
      </c>
      <c r="U9">
        <v>27.6</v>
      </c>
      <c r="V9">
        <v>22.6</v>
      </c>
      <c r="W9">
        <v>10.8</v>
      </c>
      <c r="X9">
        <v>12.8</v>
      </c>
      <c r="Y9" t="s">
        <v>8</v>
      </c>
      <c r="Z9" t="s">
        <v>8</v>
      </c>
      <c r="AA9" t="s">
        <v>8</v>
      </c>
      <c r="AB9" t="s">
        <v>8</v>
      </c>
    </row>
    <row r="10" spans="1:28" x14ac:dyDescent="0.25">
      <c r="A10">
        <v>9</v>
      </c>
      <c r="B10" t="s">
        <v>182</v>
      </c>
      <c r="C10" t="s">
        <v>57</v>
      </c>
      <c r="D10" s="6">
        <f t="shared" si="4"/>
        <v>16</v>
      </c>
      <c r="E10">
        <v>16.100000000000001</v>
      </c>
      <c r="F10">
        <v>273.8</v>
      </c>
      <c r="G10" s="3">
        <f t="shared" si="0"/>
        <v>11</v>
      </c>
      <c r="H10" s="3">
        <f t="shared" si="1"/>
        <v>5</v>
      </c>
      <c r="I10" s="3">
        <f t="shared" si="2"/>
        <v>1</v>
      </c>
      <c r="J10" s="3">
        <f t="shared" si="3"/>
        <v>17</v>
      </c>
      <c r="K10">
        <v>26.2</v>
      </c>
      <c r="L10">
        <v>13.6</v>
      </c>
      <c r="M10">
        <v>19.100000000000001</v>
      </c>
      <c r="N10">
        <v>36</v>
      </c>
      <c r="O10">
        <v>24.1</v>
      </c>
      <c r="P10">
        <v>20</v>
      </c>
      <c r="Q10">
        <v>17.8</v>
      </c>
      <c r="R10">
        <v>16</v>
      </c>
      <c r="S10">
        <v>22.6</v>
      </c>
      <c r="T10">
        <v>6.4</v>
      </c>
      <c r="U10">
        <v>6.7</v>
      </c>
      <c r="V10">
        <v>19.399999999999999</v>
      </c>
      <c r="W10" t="s">
        <v>8</v>
      </c>
      <c r="X10">
        <v>6.4</v>
      </c>
      <c r="Y10">
        <v>8.8000000000000007</v>
      </c>
      <c r="Z10">
        <v>7.9</v>
      </c>
      <c r="AA10">
        <v>7.1</v>
      </c>
      <c r="AB10">
        <v>15.7</v>
      </c>
    </row>
    <row r="11" spans="1:28" x14ac:dyDescent="0.25">
      <c r="A11">
        <v>10</v>
      </c>
      <c r="B11" t="s">
        <v>129</v>
      </c>
      <c r="C11" t="s">
        <v>20</v>
      </c>
      <c r="D11" s="6">
        <f t="shared" si="4"/>
        <v>12.7</v>
      </c>
      <c r="E11">
        <v>15.6</v>
      </c>
      <c r="F11">
        <v>265.39999999999998</v>
      </c>
      <c r="G11" s="3">
        <f t="shared" si="0"/>
        <v>12</v>
      </c>
      <c r="H11" s="3">
        <f t="shared" si="1"/>
        <v>5</v>
      </c>
      <c r="I11" s="3">
        <f t="shared" si="2"/>
        <v>2</v>
      </c>
      <c r="J11" s="3">
        <f t="shared" si="3"/>
        <v>17</v>
      </c>
      <c r="K11">
        <v>12.6</v>
      </c>
      <c r="L11">
        <v>20.399999999999999</v>
      </c>
      <c r="M11">
        <v>42.2</v>
      </c>
      <c r="N11">
        <v>15.5</v>
      </c>
      <c r="O11">
        <v>8.5</v>
      </c>
      <c r="P11">
        <v>4.9000000000000004</v>
      </c>
      <c r="Q11">
        <v>12.7</v>
      </c>
      <c r="R11">
        <v>2.1</v>
      </c>
      <c r="S11">
        <v>7.4</v>
      </c>
      <c r="T11">
        <v>14.6</v>
      </c>
      <c r="U11">
        <v>21.2</v>
      </c>
      <c r="V11">
        <v>12.3</v>
      </c>
      <c r="W11" t="s">
        <v>8</v>
      </c>
      <c r="X11">
        <v>12.3</v>
      </c>
      <c r="Y11">
        <v>24.1</v>
      </c>
      <c r="Z11">
        <v>1.4</v>
      </c>
      <c r="AA11">
        <v>37.6</v>
      </c>
      <c r="AB11">
        <v>15.6</v>
      </c>
    </row>
    <row r="12" spans="1:28" x14ac:dyDescent="0.25">
      <c r="A12">
        <v>11</v>
      </c>
      <c r="B12" t="s">
        <v>116</v>
      </c>
      <c r="C12" t="s">
        <v>30</v>
      </c>
      <c r="D12" s="6">
        <f t="shared" si="4"/>
        <v>11.25</v>
      </c>
      <c r="E12">
        <v>16.399999999999999</v>
      </c>
      <c r="F12">
        <v>262.7</v>
      </c>
      <c r="G12" s="3">
        <f t="shared" si="0"/>
        <v>9</v>
      </c>
      <c r="H12" s="3">
        <f t="shared" si="1"/>
        <v>5</v>
      </c>
      <c r="I12" s="3">
        <f t="shared" si="2"/>
        <v>2</v>
      </c>
      <c r="J12" s="3">
        <f t="shared" si="3"/>
        <v>16</v>
      </c>
      <c r="K12">
        <v>9.1</v>
      </c>
      <c r="L12">
        <v>8.1</v>
      </c>
      <c r="M12">
        <v>26.1</v>
      </c>
      <c r="N12">
        <v>14.3</v>
      </c>
      <c r="O12">
        <v>52.2</v>
      </c>
      <c r="P12">
        <v>14</v>
      </c>
      <c r="Q12" t="s">
        <v>7</v>
      </c>
      <c r="R12">
        <v>25.2</v>
      </c>
      <c r="S12">
        <v>8.1</v>
      </c>
      <c r="T12">
        <v>23.4</v>
      </c>
      <c r="U12">
        <v>9.1999999999999993</v>
      </c>
      <c r="V12">
        <v>12.1</v>
      </c>
      <c r="W12">
        <v>31.6</v>
      </c>
      <c r="X12">
        <v>5.9</v>
      </c>
      <c r="Y12">
        <v>10.4</v>
      </c>
      <c r="Z12" t="s">
        <v>8</v>
      </c>
      <c r="AA12">
        <v>7.1</v>
      </c>
      <c r="AB12">
        <v>5.9</v>
      </c>
    </row>
    <row r="13" spans="1:28" x14ac:dyDescent="0.25">
      <c r="A13">
        <v>12</v>
      </c>
      <c r="B13" t="s">
        <v>137</v>
      </c>
      <c r="C13" t="s">
        <v>32</v>
      </c>
      <c r="D13" s="6">
        <f t="shared" si="4"/>
        <v>14</v>
      </c>
      <c r="E13">
        <v>17.399999999999999</v>
      </c>
      <c r="F13">
        <v>260.39999999999998</v>
      </c>
      <c r="G13" s="3">
        <f t="shared" si="0"/>
        <v>11</v>
      </c>
      <c r="H13" s="3">
        <f t="shared" si="1"/>
        <v>5</v>
      </c>
      <c r="I13" s="3">
        <f t="shared" si="2"/>
        <v>3</v>
      </c>
      <c r="J13" s="3">
        <f t="shared" si="3"/>
        <v>15</v>
      </c>
      <c r="K13">
        <v>14</v>
      </c>
      <c r="L13">
        <v>27.6</v>
      </c>
      <c r="M13">
        <v>5.4</v>
      </c>
      <c r="N13">
        <v>35.799999999999997</v>
      </c>
      <c r="O13">
        <v>6.9</v>
      </c>
      <c r="P13">
        <v>12</v>
      </c>
      <c r="Q13" t="s">
        <v>7</v>
      </c>
      <c r="R13">
        <v>7</v>
      </c>
      <c r="S13">
        <v>14.4</v>
      </c>
      <c r="T13" t="s">
        <v>8</v>
      </c>
      <c r="U13">
        <v>13.5</v>
      </c>
      <c r="V13">
        <v>23.4</v>
      </c>
      <c r="W13">
        <v>34.1</v>
      </c>
      <c r="X13">
        <v>2.2999999999999998</v>
      </c>
      <c r="Y13" t="s">
        <v>8</v>
      </c>
      <c r="Z13">
        <v>13.8</v>
      </c>
      <c r="AA13">
        <v>15.7</v>
      </c>
      <c r="AB13">
        <v>34.5</v>
      </c>
    </row>
    <row r="14" spans="1:28" x14ac:dyDescent="0.25">
      <c r="A14">
        <v>13</v>
      </c>
      <c r="B14" t="s">
        <v>158</v>
      </c>
      <c r="C14" t="s">
        <v>24</v>
      </c>
      <c r="D14" s="6">
        <f t="shared" si="4"/>
        <v>16.350000000000001</v>
      </c>
      <c r="E14">
        <v>15.6</v>
      </c>
      <c r="F14">
        <v>250.2</v>
      </c>
      <c r="G14" s="3">
        <f t="shared" si="0"/>
        <v>13</v>
      </c>
      <c r="H14" s="3">
        <f t="shared" si="1"/>
        <v>3</v>
      </c>
      <c r="I14" s="3">
        <f t="shared" si="2"/>
        <v>0</v>
      </c>
      <c r="J14" s="3">
        <f t="shared" si="3"/>
        <v>16</v>
      </c>
      <c r="K14">
        <v>23.7</v>
      </c>
      <c r="L14">
        <v>13.6</v>
      </c>
      <c r="M14">
        <v>16.7</v>
      </c>
      <c r="N14">
        <v>4.5</v>
      </c>
      <c r="O14">
        <v>10.199999999999999</v>
      </c>
      <c r="P14">
        <v>19.899999999999999</v>
      </c>
      <c r="Q14">
        <v>16.3</v>
      </c>
      <c r="R14">
        <v>18</v>
      </c>
      <c r="S14">
        <v>14.4</v>
      </c>
      <c r="T14">
        <v>16.399999999999999</v>
      </c>
      <c r="U14" t="s">
        <v>7</v>
      </c>
      <c r="V14">
        <v>20.7</v>
      </c>
      <c r="W14">
        <v>27.5</v>
      </c>
      <c r="X14">
        <v>19.5</v>
      </c>
      <c r="Y14">
        <v>11.8</v>
      </c>
      <c r="Z14" t="s">
        <v>8</v>
      </c>
      <c r="AA14">
        <v>9.6</v>
      </c>
      <c r="AB14">
        <v>7.4</v>
      </c>
    </row>
    <row r="15" spans="1:28" x14ac:dyDescent="0.25">
      <c r="A15">
        <v>14</v>
      </c>
      <c r="B15" t="s">
        <v>218</v>
      </c>
      <c r="C15" t="s">
        <v>76</v>
      </c>
      <c r="D15" s="6">
        <f t="shared" si="4"/>
        <v>15.05</v>
      </c>
      <c r="E15">
        <v>15.6</v>
      </c>
      <c r="F15">
        <v>249.2</v>
      </c>
      <c r="G15" s="3">
        <f t="shared" si="0"/>
        <v>12</v>
      </c>
      <c r="H15" s="3">
        <f t="shared" si="1"/>
        <v>4</v>
      </c>
      <c r="I15" s="3">
        <f t="shared" si="2"/>
        <v>1</v>
      </c>
      <c r="J15" s="3">
        <f t="shared" si="3"/>
        <v>16</v>
      </c>
      <c r="K15">
        <v>32.9</v>
      </c>
      <c r="L15">
        <v>7.3</v>
      </c>
      <c r="M15" t="s">
        <v>8</v>
      </c>
      <c r="N15">
        <v>20.8</v>
      </c>
      <c r="O15">
        <v>9.8000000000000007</v>
      </c>
      <c r="P15">
        <v>11.6</v>
      </c>
      <c r="Q15">
        <v>10.7</v>
      </c>
      <c r="R15">
        <v>15.9</v>
      </c>
      <c r="S15" t="s">
        <v>7</v>
      </c>
      <c r="T15">
        <v>14.5</v>
      </c>
      <c r="U15">
        <v>26.6</v>
      </c>
      <c r="V15">
        <v>13</v>
      </c>
      <c r="W15">
        <v>15.6</v>
      </c>
      <c r="X15">
        <v>16.600000000000001</v>
      </c>
      <c r="Y15">
        <v>6.7</v>
      </c>
      <c r="Z15">
        <v>17.3</v>
      </c>
      <c r="AA15">
        <v>24.4</v>
      </c>
      <c r="AB15">
        <v>5.5</v>
      </c>
    </row>
    <row r="16" spans="1:28" x14ac:dyDescent="0.25">
      <c r="A16">
        <v>15</v>
      </c>
      <c r="B16" t="s">
        <v>159</v>
      </c>
      <c r="C16" t="s">
        <v>60</v>
      </c>
      <c r="D16" s="6">
        <f t="shared" si="4"/>
        <v>15.9</v>
      </c>
      <c r="E16">
        <v>16.2</v>
      </c>
      <c r="F16">
        <v>243.7</v>
      </c>
      <c r="G16" s="3">
        <f t="shared" si="0"/>
        <v>10</v>
      </c>
      <c r="H16" s="3">
        <f t="shared" si="1"/>
        <v>6</v>
      </c>
      <c r="I16" s="3">
        <f t="shared" si="2"/>
        <v>2</v>
      </c>
      <c r="J16" s="3">
        <f t="shared" si="3"/>
        <v>15</v>
      </c>
      <c r="K16">
        <v>11.3</v>
      </c>
      <c r="L16">
        <v>22.1</v>
      </c>
      <c r="M16">
        <v>25.1</v>
      </c>
      <c r="N16">
        <v>0.6</v>
      </c>
      <c r="O16">
        <v>11.5</v>
      </c>
      <c r="P16">
        <v>1.1000000000000001</v>
      </c>
      <c r="Q16" t="s">
        <v>8</v>
      </c>
      <c r="R16" t="s">
        <v>8</v>
      </c>
      <c r="S16" t="s">
        <v>8</v>
      </c>
      <c r="T16">
        <v>15.9</v>
      </c>
      <c r="U16">
        <v>9.1999999999999993</v>
      </c>
      <c r="V16">
        <v>22.4</v>
      </c>
      <c r="W16">
        <v>35.799999999999997</v>
      </c>
      <c r="X16">
        <v>34</v>
      </c>
      <c r="Y16">
        <v>21.9</v>
      </c>
      <c r="Z16">
        <v>9.4</v>
      </c>
      <c r="AA16">
        <v>18.2</v>
      </c>
      <c r="AB16">
        <v>5.2</v>
      </c>
    </row>
    <row r="17" spans="1:32" x14ac:dyDescent="0.25">
      <c r="A17">
        <v>16</v>
      </c>
      <c r="B17" t="s">
        <v>208</v>
      </c>
      <c r="C17" t="s">
        <v>26</v>
      </c>
      <c r="D17" s="6">
        <f t="shared" si="4"/>
        <v>15.600000000000001</v>
      </c>
      <c r="E17">
        <v>14.5</v>
      </c>
      <c r="F17">
        <v>231.3</v>
      </c>
      <c r="G17" s="3">
        <f t="shared" si="0"/>
        <v>12</v>
      </c>
      <c r="H17" s="3">
        <f t="shared" si="1"/>
        <v>2</v>
      </c>
      <c r="I17" s="3">
        <f t="shared" si="2"/>
        <v>0</v>
      </c>
      <c r="J17" s="3">
        <f t="shared" si="3"/>
        <v>16</v>
      </c>
      <c r="K17">
        <v>19.2</v>
      </c>
      <c r="L17">
        <v>14.6</v>
      </c>
      <c r="M17">
        <v>18.399999999999999</v>
      </c>
      <c r="N17">
        <v>1.4</v>
      </c>
      <c r="O17">
        <v>9.1999999999999993</v>
      </c>
      <c r="P17">
        <v>16.600000000000001</v>
      </c>
      <c r="Q17">
        <v>12.7</v>
      </c>
      <c r="R17">
        <v>9.6</v>
      </c>
      <c r="S17">
        <v>16.600000000000001</v>
      </c>
      <c r="T17">
        <v>21.4</v>
      </c>
      <c r="U17" t="s">
        <v>7</v>
      </c>
      <c r="V17">
        <v>18.399999999999999</v>
      </c>
      <c r="W17">
        <v>16.899999999999999</v>
      </c>
      <c r="X17">
        <v>12.8</v>
      </c>
      <c r="Y17" t="s">
        <v>8</v>
      </c>
      <c r="Z17">
        <v>23.3</v>
      </c>
      <c r="AA17">
        <v>5.6</v>
      </c>
      <c r="AB17">
        <v>14.6</v>
      </c>
    </row>
    <row r="18" spans="1:32" x14ac:dyDescent="0.25">
      <c r="A18">
        <v>17</v>
      </c>
      <c r="B18" t="s">
        <v>166</v>
      </c>
      <c r="C18" t="s">
        <v>36</v>
      </c>
      <c r="D18" s="6">
        <f t="shared" si="4"/>
        <v>12.4</v>
      </c>
      <c r="E18">
        <v>13.6</v>
      </c>
      <c r="F18">
        <v>231</v>
      </c>
      <c r="G18" s="3">
        <f t="shared" si="0"/>
        <v>10</v>
      </c>
      <c r="H18" s="3">
        <f t="shared" si="1"/>
        <v>4</v>
      </c>
      <c r="I18" s="3">
        <f t="shared" si="2"/>
        <v>1</v>
      </c>
      <c r="J18" s="3">
        <f t="shared" si="3"/>
        <v>17</v>
      </c>
      <c r="K18">
        <v>3.2</v>
      </c>
      <c r="L18">
        <v>20.399999999999999</v>
      </c>
      <c r="M18">
        <v>31.5</v>
      </c>
      <c r="N18">
        <v>15.2</v>
      </c>
      <c r="O18">
        <v>27.7</v>
      </c>
      <c r="P18">
        <v>28.5</v>
      </c>
      <c r="Q18" t="s">
        <v>7</v>
      </c>
      <c r="R18">
        <v>15.2</v>
      </c>
      <c r="S18">
        <v>7.9</v>
      </c>
      <c r="T18">
        <v>10.199999999999999</v>
      </c>
      <c r="U18">
        <v>15.4</v>
      </c>
      <c r="V18">
        <v>1.2</v>
      </c>
      <c r="W18">
        <v>5.5</v>
      </c>
      <c r="X18">
        <v>12.4</v>
      </c>
      <c r="Y18">
        <v>8.3000000000000007</v>
      </c>
      <c r="Z18">
        <v>15.4</v>
      </c>
      <c r="AA18">
        <v>9.8000000000000007</v>
      </c>
      <c r="AB18">
        <v>3.2</v>
      </c>
    </row>
    <row r="19" spans="1:32" x14ac:dyDescent="0.25">
      <c r="A19">
        <v>18</v>
      </c>
      <c r="B19" t="s">
        <v>142</v>
      </c>
      <c r="C19" t="s">
        <v>47</v>
      </c>
      <c r="D19" s="6">
        <f t="shared" si="4"/>
        <v>9.3000000000000007</v>
      </c>
      <c r="E19">
        <v>13.5</v>
      </c>
      <c r="F19">
        <v>229.9</v>
      </c>
      <c r="G19" s="3">
        <f t="shared" si="0"/>
        <v>8</v>
      </c>
      <c r="H19" s="3">
        <f t="shared" si="1"/>
        <v>6</v>
      </c>
      <c r="I19" s="3">
        <f t="shared" si="2"/>
        <v>1</v>
      </c>
      <c r="J19" s="3">
        <f t="shared" si="3"/>
        <v>17</v>
      </c>
      <c r="K19">
        <v>24.1</v>
      </c>
      <c r="L19">
        <v>5.2</v>
      </c>
      <c r="M19">
        <v>7</v>
      </c>
      <c r="N19">
        <v>11.8</v>
      </c>
      <c r="O19">
        <v>20.6</v>
      </c>
      <c r="P19">
        <v>6.6</v>
      </c>
      <c r="Q19">
        <v>1.5</v>
      </c>
      <c r="R19">
        <v>14.3</v>
      </c>
      <c r="S19" t="s">
        <v>8</v>
      </c>
      <c r="T19">
        <v>4</v>
      </c>
      <c r="U19">
        <v>31.1</v>
      </c>
      <c r="V19">
        <v>21.9</v>
      </c>
      <c r="W19">
        <v>7.3</v>
      </c>
      <c r="X19">
        <v>9.3000000000000007</v>
      </c>
      <c r="Y19">
        <v>8.9</v>
      </c>
      <c r="Z19">
        <v>25.8</v>
      </c>
      <c r="AA19">
        <v>7.9</v>
      </c>
      <c r="AB19">
        <v>22.6</v>
      </c>
    </row>
    <row r="20" spans="1:32" x14ac:dyDescent="0.25">
      <c r="A20">
        <v>19</v>
      </c>
      <c r="B20" t="s">
        <v>145</v>
      </c>
      <c r="C20" t="s">
        <v>6</v>
      </c>
      <c r="D20" s="6">
        <f t="shared" si="4"/>
        <v>14.45</v>
      </c>
      <c r="E20">
        <v>14.2</v>
      </c>
      <c r="F20">
        <v>227.6</v>
      </c>
      <c r="G20" s="3">
        <f t="shared" si="0"/>
        <v>11</v>
      </c>
      <c r="H20" s="3">
        <f t="shared" si="1"/>
        <v>4</v>
      </c>
      <c r="I20" s="3">
        <f t="shared" si="2"/>
        <v>0</v>
      </c>
      <c r="J20" s="3">
        <f t="shared" si="3"/>
        <v>16</v>
      </c>
      <c r="K20">
        <v>17.7</v>
      </c>
      <c r="L20">
        <v>23.1</v>
      </c>
      <c r="M20">
        <v>6.8</v>
      </c>
      <c r="N20">
        <v>14.8</v>
      </c>
      <c r="O20">
        <v>1.6</v>
      </c>
      <c r="P20">
        <v>9.4</v>
      </c>
      <c r="Q20">
        <v>8.9</v>
      </c>
      <c r="R20">
        <v>22.9</v>
      </c>
      <c r="S20">
        <v>14.1</v>
      </c>
      <c r="T20" t="s">
        <v>7</v>
      </c>
      <c r="U20">
        <v>15.9</v>
      </c>
      <c r="V20">
        <v>23.6</v>
      </c>
      <c r="W20">
        <v>24.6</v>
      </c>
      <c r="X20">
        <v>10.3</v>
      </c>
      <c r="Y20">
        <v>10</v>
      </c>
      <c r="Z20">
        <v>17.899999999999999</v>
      </c>
      <c r="AA20">
        <v>6</v>
      </c>
      <c r="AB20" t="s">
        <v>8</v>
      </c>
    </row>
    <row r="21" spans="1:32" x14ac:dyDescent="0.25">
      <c r="A21">
        <v>20</v>
      </c>
      <c r="B21" t="s">
        <v>179</v>
      </c>
      <c r="C21" t="s">
        <v>90</v>
      </c>
      <c r="D21" s="6">
        <f t="shared" si="4"/>
        <v>14.8</v>
      </c>
      <c r="E21">
        <v>15.1</v>
      </c>
      <c r="F21">
        <v>227</v>
      </c>
      <c r="G21" s="3">
        <f t="shared" si="0"/>
        <v>9</v>
      </c>
      <c r="H21" s="3">
        <f t="shared" si="1"/>
        <v>4</v>
      </c>
      <c r="I21" s="3">
        <f t="shared" si="2"/>
        <v>1</v>
      </c>
      <c r="J21" s="3">
        <f t="shared" si="3"/>
        <v>15</v>
      </c>
      <c r="K21">
        <v>6.7</v>
      </c>
      <c r="L21">
        <v>16</v>
      </c>
      <c r="M21">
        <v>24.6</v>
      </c>
      <c r="N21">
        <v>2.6</v>
      </c>
      <c r="O21" t="s">
        <v>8</v>
      </c>
      <c r="P21">
        <v>14.8</v>
      </c>
      <c r="Q21">
        <v>4.2</v>
      </c>
      <c r="R21">
        <v>14.9</v>
      </c>
      <c r="S21">
        <v>24.9</v>
      </c>
      <c r="T21">
        <v>15.8</v>
      </c>
      <c r="U21">
        <v>7.4</v>
      </c>
      <c r="V21">
        <v>3.6</v>
      </c>
      <c r="W21">
        <v>6.4</v>
      </c>
      <c r="X21">
        <v>12.7</v>
      </c>
      <c r="Y21">
        <v>20.9</v>
      </c>
      <c r="Z21">
        <v>51.5</v>
      </c>
      <c r="AA21" t="s">
        <v>8</v>
      </c>
      <c r="AB21" t="s">
        <v>8</v>
      </c>
    </row>
    <row r="22" spans="1:32" x14ac:dyDescent="0.25">
      <c r="A22">
        <v>21</v>
      </c>
      <c r="B22" t="s">
        <v>147</v>
      </c>
      <c r="C22" t="s">
        <v>78</v>
      </c>
      <c r="D22" s="6">
        <f t="shared" si="4"/>
        <v>13.35</v>
      </c>
      <c r="E22">
        <v>14.1</v>
      </c>
      <c r="F22">
        <v>225.4</v>
      </c>
      <c r="G22" s="3">
        <f t="shared" si="0"/>
        <v>13</v>
      </c>
      <c r="H22" s="3">
        <f t="shared" si="1"/>
        <v>2</v>
      </c>
      <c r="I22" s="3">
        <f t="shared" si="2"/>
        <v>1</v>
      </c>
      <c r="J22" s="3">
        <f t="shared" si="3"/>
        <v>16</v>
      </c>
      <c r="K22">
        <v>13.7</v>
      </c>
      <c r="L22">
        <v>13.5</v>
      </c>
      <c r="M22">
        <v>17.2</v>
      </c>
      <c r="N22">
        <v>12.4</v>
      </c>
      <c r="O22" t="s">
        <v>8</v>
      </c>
      <c r="P22">
        <v>10.9</v>
      </c>
      <c r="Q22" t="s">
        <v>8</v>
      </c>
      <c r="R22">
        <v>11.7</v>
      </c>
      <c r="S22">
        <v>6</v>
      </c>
      <c r="T22">
        <v>16.8</v>
      </c>
      <c r="U22">
        <v>20.399999999999999</v>
      </c>
      <c r="V22">
        <v>6.2</v>
      </c>
      <c r="W22">
        <v>37.4</v>
      </c>
      <c r="X22">
        <v>13.2</v>
      </c>
      <c r="Y22">
        <v>12.8</v>
      </c>
      <c r="Z22">
        <v>15.6</v>
      </c>
      <c r="AA22">
        <v>15.6</v>
      </c>
      <c r="AB22">
        <v>2</v>
      </c>
    </row>
    <row r="23" spans="1:32" x14ac:dyDescent="0.25">
      <c r="A23">
        <v>22</v>
      </c>
      <c r="B23" t="s">
        <v>163</v>
      </c>
      <c r="C23" t="s">
        <v>12</v>
      </c>
      <c r="D23" s="6">
        <f t="shared" si="4"/>
        <v>10.5</v>
      </c>
      <c r="E23">
        <v>13.2</v>
      </c>
      <c r="F23">
        <v>223.6</v>
      </c>
      <c r="G23" s="3">
        <f t="shared" si="0"/>
        <v>10</v>
      </c>
      <c r="H23" s="3">
        <f t="shared" si="1"/>
        <v>3</v>
      </c>
      <c r="I23" s="3">
        <f t="shared" si="2"/>
        <v>1</v>
      </c>
      <c r="J23" s="3">
        <f t="shared" si="3"/>
        <v>17</v>
      </c>
      <c r="K23">
        <v>13.5</v>
      </c>
      <c r="L23">
        <v>8</v>
      </c>
      <c r="M23">
        <v>7.8</v>
      </c>
      <c r="N23">
        <v>10.3</v>
      </c>
      <c r="O23">
        <v>22</v>
      </c>
      <c r="P23">
        <v>3</v>
      </c>
      <c r="Q23" t="s">
        <v>8</v>
      </c>
      <c r="R23">
        <v>34.799999999999997</v>
      </c>
      <c r="S23">
        <v>10.5</v>
      </c>
      <c r="T23">
        <v>5.7</v>
      </c>
      <c r="U23">
        <v>15.9</v>
      </c>
      <c r="V23">
        <v>7.9</v>
      </c>
      <c r="W23">
        <v>18.899999999999999</v>
      </c>
      <c r="X23">
        <v>25.4</v>
      </c>
      <c r="Y23">
        <v>4.0999999999999996</v>
      </c>
      <c r="Z23">
        <v>4</v>
      </c>
      <c r="AA23">
        <v>14.2</v>
      </c>
      <c r="AB23">
        <v>17.600000000000001</v>
      </c>
    </row>
    <row r="24" spans="1:32" x14ac:dyDescent="0.25">
      <c r="A24">
        <v>23</v>
      </c>
      <c r="B24" t="s">
        <v>135</v>
      </c>
      <c r="C24" t="s">
        <v>38</v>
      </c>
      <c r="D24" s="6">
        <f t="shared" si="4"/>
        <v>11.2</v>
      </c>
      <c r="E24">
        <v>13</v>
      </c>
      <c r="F24">
        <v>221.3</v>
      </c>
      <c r="G24" s="3">
        <f t="shared" si="0"/>
        <v>11</v>
      </c>
      <c r="H24" s="3">
        <f t="shared" si="1"/>
        <v>3</v>
      </c>
      <c r="I24" s="3">
        <f t="shared" si="2"/>
        <v>1</v>
      </c>
      <c r="J24" s="3">
        <f t="shared" si="3"/>
        <v>17</v>
      </c>
      <c r="K24">
        <v>16.100000000000001</v>
      </c>
      <c r="L24">
        <v>16.2</v>
      </c>
      <c r="M24">
        <v>11.2</v>
      </c>
      <c r="N24">
        <v>0</v>
      </c>
      <c r="O24">
        <v>18.399999999999999</v>
      </c>
      <c r="P24">
        <v>11.8</v>
      </c>
      <c r="Q24">
        <v>31.3</v>
      </c>
      <c r="R24">
        <v>21.4</v>
      </c>
      <c r="S24">
        <v>10.199999999999999</v>
      </c>
      <c r="T24">
        <v>10.9</v>
      </c>
      <c r="U24">
        <v>7.4</v>
      </c>
      <c r="V24">
        <v>9.9</v>
      </c>
      <c r="W24" t="s">
        <v>7</v>
      </c>
      <c r="X24">
        <v>4.7</v>
      </c>
      <c r="Y24">
        <v>29.1</v>
      </c>
      <c r="Z24">
        <v>1.2</v>
      </c>
      <c r="AA24">
        <v>5.8</v>
      </c>
      <c r="AB24">
        <v>15.7</v>
      </c>
    </row>
    <row r="25" spans="1:32" x14ac:dyDescent="0.25">
      <c r="A25">
        <v>24</v>
      </c>
      <c r="B25" t="s">
        <v>138</v>
      </c>
      <c r="C25" t="s">
        <v>97</v>
      </c>
      <c r="D25" s="6">
        <f t="shared" si="4"/>
        <v>14.5</v>
      </c>
      <c r="E25">
        <v>13.7</v>
      </c>
      <c r="F25">
        <v>218.6</v>
      </c>
      <c r="G25" s="3">
        <f t="shared" si="0"/>
        <v>10</v>
      </c>
      <c r="H25" s="3">
        <f t="shared" si="1"/>
        <v>4</v>
      </c>
      <c r="I25" s="3">
        <f t="shared" si="2"/>
        <v>0</v>
      </c>
      <c r="J25" s="3">
        <f t="shared" si="3"/>
        <v>16</v>
      </c>
      <c r="K25">
        <v>29.1</v>
      </c>
      <c r="L25" t="s">
        <v>8</v>
      </c>
      <c r="M25">
        <v>15.5</v>
      </c>
      <c r="N25">
        <v>5.3</v>
      </c>
      <c r="O25">
        <v>20.5</v>
      </c>
      <c r="P25">
        <v>17.100000000000001</v>
      </c>
      <c r="Q25">
        <v>18</v>
      </c>
      <c r="R25">
        <v>2.9</v>
      </c>
      <c r="S25">
        <v>13.5</v>
      </c>
      <c r="T25">
        <v>4.0999999999999996</v>
      </c>
      <c r="U25">
        <v>8.9</v>
      </c>
      <c r="V25">
        <v>20.100000000000001</v>
      </c>
      <c r="W25" t="s">
        <v>7</v>
      </c>
      <c r="X25">
        <v>7.5</v>
      </c>
      <c r="Y25">
        <v>15.7</v>
      </c>
      <c r="Z25">
        <v>7.2</v>
      </c>
      <c r="AA25">
        <v>11.6</v>
      </c>
      <c r="AB25">
        <v>21.6</v>
      </c>
    </row>
    <row r="26" spans="1:32" x14ac:dyDescent="0.25">
      <c r="A26">
        <v>25</v>
      </c>
      <c r="B26" t="s">
        <v>141</v>
      </c>
      <c r="C26" t="s">
        <v>16</v>
      </c>
      <c r="D26" s="6">
        <f t="shared" si="4"/>
        <v>13.65</v>
      </c>
      <c r="E26">
        <v>13.6</v>
      </c>
      <c r="F26">
        <v>217.2</v>
      </c>
      <c r="G26" s="3">
        <f t="shared" si="0"/>
        <v>11</v>
      </c>
      <c r="H26" s="3">
        <f t="shared" si="1"/>
        <v>2</v>
      </c>
      <c r="I26" s="3">
        <f t="shared" si="2"/>
        <v>0</v>
      </c>
      <c r="J26" s="3">
        <f t="shared" si="3"/>
        <v>16</v>
      </c>
      <c r="K26">
        <v>6.6</v>
      </c>
      <c r="L26">
        <v>19.7</v>
      </c>
      <c r="M26">
        <v>9.3000000000000007</v>
      </c>
      <c r="N26">
        <v>10.5</v>
      </c>
      <c r="O26">
        <v>1.7</v>
      </c>
      <c r="P26" t="s">
        <v>7</v>
      </c>
      <c r="Q26">
        <v>11.1</v>
      </c>
      <c r="R26">
        <v>12.3</v>
      </c>
      <c r="S26">
        <v>7</v>
      </c>
      <c r="T26">
        <v>19.399999999999999</v>
      </c>
      <c r="U26">
        <v>19.2</v>
      </c>
      <c r="V26">
        <v>15</v>
      </c>
      <c r="W26">
        <v>5.6</v>
      </c>
      <c r="X26">
        <v>20.5</v>
      </c>
      <c r="Y26">
        <v>17.2</v>
      </c>
      <c r="Z26" t="s">
        <v>8</v>
      </c>
      <c r="AA26">
        <v>26.9</v>
      </c>
      <c r="AB26">
        <v>15.2</v>
      </c>
    </row>
    <row r="27" spans="1:32" x14ac:dyDescent="0.25">
      <c r="A27">
        <v>26</v>
      </c>
      <c r="B27" t="s">
        <v>126</v>
      </c>
      <c r="C27" t="s">
        <v>40</v>
      </c>
      <c r="D27" s="6">
        <f t="shared" si="4"/>
        <v>14.4</v>
      </c>
      <c r="E27">
        <v>12.5</v>
      </c>
      <c r="F27">
        <v>213.2</v>
      </c>
      <c r="G27" s="3">
        <f t="shared" si="0"/>
        <v>10</v>
      </c>
      <c r="H27" s="3">
        <f t="shared" si="1"/>
        <v>1</v>
      </c>
      <c r="I27" s="3">
        <f t="shared" si="2"/>
        <v>0</v>
      </c>
      <c r="J27" s="3">
        <f t="shared" si="3"/>
        <v>17</v>
      </c>
      <c r="K27">
        <v>14.4</v>
      </c>
      <c r="L27">
        <v>16.3</v>
      </c>
      <c r="M27">
        <v>9.8000000000000007</v>
      </c>
      <c r="N27">
        <v>15</v>
      </c>
      <c r="O27">
        <v>8.4</v>
      </c>
      <c r="P27">
        <v>17</v>
      </c>
      <c r="Q27" t="s">
        <v>7</v>
      </c>
      <c r="R27">
        <v>17.600000000000001</v>
      </c>
      <c r="S27">
        <v>13</v>
      </c>
      <c r="T27">
        <v>18.3</v>
      </c>
      <c r="U27">
        <v>0.9</v>
      </c>
      <c r="V27">
        <v>17.399999999999999</v>
      </c>
      <c r="W27">
        <v>8</v>
      </c>
      <c r="X27">
        <v>20.100000000000001</v>
      </c>
      <c r="Y27">
        <v>5.9</v>
      </c>
      <c r="Z27">
        <v>15.8</v>
      </c>
      <c r="AA27">
        <v>9.9</v>
      </c>
      <c r="AB27">
        <v>5.4</v>
      </c>
    </row>
    <row r="28" spans="1:32" x14ac:dyDescent="0.25">
      <c r="A28">
        <v>27</v>
      </c>
      <c r="B28" t="s">
        <v>213</v>
      </c>
      <c r="C28" t="s">
        <v>62</v>
      </c>
      <c r="D28" s="6">
        <f t="shared" si="4"/>
        <v>11.649999999999999</v>
      </c>
      <c r="E28">
        <v>13.3</v>
      </c>
      <c r="F28">
        <v>212.5</v>
      </c>
      <c r="G28" s="3">
        <f t="shared" si="0"/>
        <v>11</v>
      </c>
      <c r="H28" s="3">
        <f t="shared" si="1"/>
        <v>2</v>
      </c>
      <c r="I28" s="3">
        <f t="shared" si="2"/>
        <v>0</v>
      </c>
      <c r="J28" s="3">
        <f t="shared" si="3"/>
        <v>16</v>
      </c>
      <c r="K28">
        <v>11.6</v>
      </c>
      <c r="L28">
        <v>4</v>
      </c>
      <c r="M28">
        <v>10.9</v>
      </c>
      <c r="N28">
        <v>6.2</v>
      </c>
      <c r="O28">
        <v>13.3</v>
      </c>
      <c r="P28">
        <v>11.2</v>
      </c>
      <c r="Q28">
        <v>17</v>
      </c>
      <c r="R28">
        <v>9.6</v>
      </c>
      <c r="S28">
        <v>9.6999999999999993</v>
      </c>
      <c r="T28" t="s">
        <v>7</v>
      </c>
      <c r="U28">
        <v>8.1999999999999993</v>
      </c>
      <c r="V28">
        <v>24.7</v>
      </c>
      <c r="W28">
        <v>14.4</v>
      </c>
      <c r="X28">
        <v>18.2</v>
      </c>
      <c r="Y28">
        <v>24.1</v>
      </c>
      <c r="Z28">
        <v>11.7</v>
      </c>
      <c r="AA28">
        <v>17.7</v>
      </c>
      <c r="AB28" t="s">
        <v>8</v>
      </c>
    </row>
    <row r="29" spans="1:32" x14ac:dyDescent="0.25">
      <c r="A29">
        <v>28</v>
      </c>
      <c r="B29" t="s">
        <v>169</v>
      </c>
      <c r="C29" t="s">
        <v>34</v>
      </c>
      <c r="D29" s="6">
        <f t="shared" si="4"/>
        <v>10.8</v>
      </c>
      <c r="E29">
        <v>12.3</v>
      </c>
      <c r="F29">
        <v>209.2</v>
      </c>
      <c r="G29" s="3">
        <f t="shared" si="0"/>
        <v>11</v>
      </c>
      <c r="H29" s="3">
        <f t="shared" si="1"/>
        <v>1</v>
      </c>
      <c r="I29" s="3">
        <f t="shared" si="2"/>
        <v>0</v>
      </c>
      <c r="J29" s="3">
        <f t="shared" si="3"/>
        <v>17</v>
      </c>
      <c r="K29">
        <v>10.1</v>
      </c>
      <c r="L29">
        <v>10.8</v>
      </c>
      <c r="M29">
        <v>8.1999999999999993</v>
      </c>
      <c r="N29">
        <v>19.399999999999999</v>
      </c>
      <c r="O29" t="s">
        <v>7</v>
      </c>
      <c r="P29">
        <v>13.7</v>
      </c>
      <c r="Q29">
        <v>12.6</v>
      </c>
      <c r="R29">
        <v>17.8</v>
      </c>
      <c r="S29">
        <v>3.6</v>
      </c>
      <c r="T29">
        <v>9.4</v>
      </c>
      <c r="U29">
        <v>9.9</v>
      </c>
      <c r="V29">
        <v>7.5</v>
      </c>
      <c r="W29">
        <v>7.9</v>
      </c>
      <c r="X29">
        <v>10.3</v>
      </c>
      <c r="Y29">
        <v>25.5</v>
      </c>
      <c r="Z29">
        <v>13.9</v>
      </c>
      <c r="AA29">
        <v>17.100000000000001</v>
      </c>
      <c r="AB29">
        <v>11.5</v>
      </c>
    </row>
    <row r="30" spans="1:32" x14ac:dyDescent="0.25">
      <c r="A30">
        <v>28</v>
      </c>
      <c r="B30" t="s">
        <v>121</v>
      </c>
      <c r="C30" t="s">
        <v>60</v>
      </c>
      <c r="D30" s="6">
        <f t="shared" si="4"/>
        <v>11.6</v>
      </c>
      <c r="E30">
        <v>12.3</v>
      </c>
      <c r="F30">
        <v>209.2</v>
      </c>
      <c r="G30" s="3">
        <f t="shared" si="0"/>
        <v>10</v>
      </c>
      <c r="H30" s="3">
        <f t="shared" si="1"/>
        <v>2</v>
      </c>
      <c r="I30" s="3">
        <f t="shared" si="2"/>
        <v>0</v>
      </c>
      <c r="J30" s="3">
        <f t="shared" si="3"/>
        <v>17</v>
      </c>
      <c r="K30">
        <v>5.0999999999999996</v>
      </c>
      <c r="L30">
        <v>16.399999999999999</v>
      </c>
      <c r="M30">
        <v>10.1</v>
      </c>
      <c r="N30">
        <v>22.6</v>
      </c>
      <c r="O30">
        <v>8.9</v>
      </c>
      <c r="P30">
        <v>14.1</v>
      </c>
      <c r="Q30">
        <v>15</v>
      </c>
      <c r="R30">
        <v>17.3</v>
      </c>
      <c r="S30">
        <v>12.3</v>
      </c>
      <c r="T30">
        <v>7.3</v>
      </c>
      <c r="U30">
        <v>9.3000000000000007</v>
      </c>
      <c r="V30">
        <v>9</v>
      </c>
      <c r="W30">
        <v>0</v>
      </c>
      <c r="X30" t="s">
        <v>7</v>
      </c>
      <c r="Y30">
        <v>26.1</v>
      </c>
      <c r="Z30">
        <v>8</v>
      </c>
      <c r="AA30">
        <v>16.100000000000001</v>
      </c>
      <c r="AB30">
        <v>11.6</v>
      </c>
    </row>
    <row r="31" spans="1:32" x14ac:dyDescent="0.25">
      <c r="A31">
        <v>30</v>
      </c>
      <c r="B31" t="s">
        <v>157</v>
      </c>
      <c r="C31" t="s">
        <v>64</v>
      </c>
      <c r="D31" s="6">
        <f t="shared" si="4"/>
        <v>8.8000000000000007</v>
      </c>
      <c r="E31">
        <v>12.3</v>
      </c>
      <c r="F31">
        <v>208.8</v>
      </c>
      <c r="G31" s="3">
        <f t="shared" si="0"/>
        <v>7</v>
      </c>
      <c r="H31" s="3">
        <f t="shared" si="1"/>
        <v>4</v>
      </c>
      <c r="I31" s="3">
        <f t="shared" si="2"/>
        <v>1</v>
      </c>
      <c r="J31" s="3">
        <f t="shared" si="3"/>
        <v>17</v>
      </c>
      <c r="K31">
        <v>8.6</v>
      </c>
      <c r="L31">
        <v>22.7</v>
      </c>
      <c r="M31">
        <v>11.5</v>
      </c>
      <c r="N31">
        <v>5.5</v>
      </c>
      <c r="O31">
        <v>26.6</v>
      </c>
      <c r="P31" t="s">
        <v>8</v>
      </c>
      <c r="Q31">
        <v>15.7</v>
      </c>
      <c r="R31">
        <v>9.1999999999999993</v>
      </c>
      <c r="S31">
        <v>1.9</v>
      </c>
      <c r="T31">
        <v>7.5</v>
      </c>
      <c r="U31">
        <v>7.7</v>
      </c>
      <c r="V31">
        <v>8.8000000000000007</v>
      </c>
      <c r="W31">
        <v>12.6</v>
      </c>
      <c r="X31">
        <v>6.9</v>
      </c>
      <c r="Y31">
        <v>7.7</v>
      </c>
      <c r="Z31">
        <v>35.5</v>
      </c>
      <c r="AA31">
        <v>20.100000000000001</v>
      </c>
      <c r="AB31">
        <v>0.3</v>
      </c>
      <c r="AF31" s="3">
        <f>MEDIAN(K13:AB103)</f>
        <v>7.45</v>
      </c>
    </row>
    <row r="32" spans="1:32" x14ac:dyDescent="0.25">
      <c r="A32">
        <v>31</v>
      </c>
      <c r="B32" t="s">
        <v>139</v>
      </c>
      <c r="C32" t="s">
        <v>12</v>
      </c>
      <c r="D32" s="6">
        <f t="shared" si="4"/>
        <v>12.3</v>
      </c>
      <c r="E32">
        <v>12.9</v>
      </c>
      <c r="F32">
        <v>206.4</v>
      </c>
      <c r="G32" s="3">
        <f t="shared" si="0"/>
        <v>11</v>
      </c>
      <c r="H32" s="3">
        <f t="shared" si="1"/>
        <v>3</v>
      </c>
      <c r="I32" s="3">
        <f t="shared" si="2"/>
        <v>0</v>
      </c>
      <c r="J32" s="3">
        <f t="shared" si="3"/>
        <v>16</v>
      </c>
      <c r="K32">
        <v>17.7</v>
      </c>
      <c r="L32">
        <v>10.8</v>
      </c>
      <c r="M32">
        <v>13</v>
      </c>
      <c r="N32">
        <v>8</v>
      </c>
      <c r="O32">
        <v>12.3</v>
      </c>
      <c r="P32">
        <v>17.100000000000001</v>
      </c>
      <c r="Q32">
        <v>11.5</v>
      </c>
      <c r="R32">
        <v>6.9</v>
      </c>
      <c r="S32">
        <v>2.1</v>
      </c>
      <c r="T32">
        <v>12.3</v>
      </c>
      <c r="U32">
        <v>8</v>
      </c>
      <c r="V32">
        <v>23.2</v>
      </c>
      <c r="W32" t="s">
        <v>7</v>
      </c>
      <c r="X32">
        <v>20</v>
      </c>
      <c r="Y32">
        <v>1.7</v>
      </c>
      <c r="Z32">
        <v>22.2</v>
      </c>
      <c r="AA32">
        <v>19.600000000000001</v>
      </c>
      <c r="AB32" t="s">
        <v>8</v>
      </c>
    </row>
    <row r="33" spans="1:31" x14ac:dyDescent="0.25">
      <c r="A33">
        <v>32</v>
      </c>
      <c r="B33" t="s">
        <v>184</v>
      </c>
      <c r="C33" t="s">
        <v>47</v>
      </c>
      <c r="D33" s="6">
        <f t="shared" si="4"/>
        <v>9.6999999999999993</v>
      </c>
      <c r="E33">
        <v>11.9</v>
      </c>
      <c r="F33">
        <v>202.4</v>
      </c>
      <c r="G33" s="3">
        <f t="shared" si="0"/>
        <v>8</v>
      </c>
      <c r="H33" s="3">
        <f t="shared" si="1"/>
        <v>3</v>
      </c>
      <c r="I33" s="3">
        <f t="shared" si="2"/>
        <v>0</v>
      </c>
      <c r="J33" s="3">
        <f t="shared" si="3"/>
        <v>17</v>
      </c>
      <c r="K33">
        <v>3</v>
      </c>
      <c r="L33">
        <v>25.9</v>
      </c>
      <c r="M33">
        <v>8.4</v>
      </c>
      <c r="N33">
        <v>9.4</v>
      </c>
      <c r="O33" t="s">
        <v>8</v>
      </c>
      <c r="P33">
        <v>15.4</v>
      </c>
      <c r="Q33">
        <v>7.8</v>
      </c>
      <c r="R33">
        <v>22.1</v>
      </c>
      <c r="S33">
        <v>6.2</v>
      </c>
      <c r="T33">
        <v>23.2</v>
      </c>
      <c r="U33">
        <v>10.1</v>
      </c>
      <c r="V33">
        <v>6</v>
      </c>
      <c r="W33">
        <v>9.6999999999999993</v>
      </c>
      <c r="X33">
        <v>14.9</v>
      </c>
      <c r="Y33">
        <v>5.0999999999999996</v>
      </c>
      <c r="Z33">
        <v>16.100000000000001</v>
      </c>
      <c r="AA33">
        <v>2</v>
      </c>
      <c r="AB33">
        <v>17.100000000000001</v>
      </c>
    </row>
    <row r="34" spans="1:31" x14ac:dyDescent="0.25">
      <c r="A34">
        <v>33</v>
      </c>
      <c r="B34" t="s">
        <v>117</v>
      </c>
      <c r="C34" t="s">
        <v>38</v>
      </c>
      <c r="D34" s="6">
        <f t="shared" si="4"/>
        <v>24.45</v>
      </c>
      <c r="E34">
        <v>20.2</v>
      </c>
      <c r="F34">
        <v>202.2</v>
      </c>
      <c r="G34" s="3">
        <f t="shared" si="0"/>
        <v>8</v>
      </c>
      <c r="H34" s="3">
        <f t="shared" si="1"/>
        <v>6</v>
      </c>
      <c r="I34" s="3">
        <f t="shared" si="2"/>
        <v>1</v>
      </c>
      <c r="J34" s="3">
        <f t="shared" si="3"/>
        <v>10</v>
      </c>
      <c r="K34">
        <v>24</v>
      </c>
      <c r="L34">
        <v>24.9</v>
      </c>
      <c r="M34">
        <v>27.9</v>
      </c>
      <c r="N34">
        <v>26.5</v>
      </c>
      <c r="O34">
        <v>5.8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7</v>
      </c>
      <c r="X34">
        <v>4.7</v>
      </c>
      <c r="Y34">
        <v>15.4</v>
      </c>
      <c r="Z34">
        <v>26.1</v>
      </c>
      <c r="AA34">
        <v>10.9</v>
      </c>
      <c r="AB34">
        <v>36</v>
      </c>
    </row>
    <row r="35" spans="1:31" x14ac:dyDescent="0.25">
      <c r="A35">
        <v>34</v>
      </c>
      <c r="B35" t="s">
        <v>161</v>
      </c>
      <c r="C35" t="s">
        <v>18</v>
      </c>
      <c r="D35" s="6">
        <f t="shared" si="4"/>
        <v>12.350000000000001</v>
      </c>
      <c r="E35">
        <v>14.2</v>
      </c>
      <c r="F35">
        <v>198.6</v>
      </c>
      <c r="G35" s="3">
        <f t="shared" si="0"/>
        <v>10</v>
      </c>
      <c r="H35" s="3">
        <f t="shared" si="1"/>
        <v>2</v>
      </c>
      <c r="I35" s="3">
        <f t="shared" si="2"/>
        <v>0</v>
      </c>
      <c r="J35" s="3">
        <f t="shared" si="3"/>
        <v>14</v>
      </c>
      <c r="K35">
        <v>11.8</v>
      </c>
      <c r="L35">
        <v>12.4</v>
      </c>
      <c r="M35" t="s">
        <v>8</v>
      </c>
      <c r="N35">
        <v>8.6</v>
      </c>
      <c r="O35">
        <v>14.5</v>
      </c>
      <c r="P35">
        <v>18.100000000000001</v>
      </c>
      <c r="Q35">
        <v>12.3</v>
      </c>
      <c r="R35">
        <v>25.1</v>
      </c>
      <c r="S35">
        <v>8.4</v>
      </c>
      <c r="T35" t="s">
        <v>7</v>
      </c>
      <c r="U35">
        <v>9.5</v>
      </c>
      <c r="V35">
        <v>19.399999999999999</v>
      </c>
      <c r="W35">
        <v>10.199999999999999</v>
      </c>
      <c r="X35">
        <v>13.9</v>
      </c>
      <c r="Y35">
        <v>28.2</v>
      </c>
      <c r="Z35">
        <v>6.2</v>
      </c>
      <c r="AA35" t="s">
        <v>8</v>
      </c>
      <c r="AB35" t="s">
        <v>8</v>
      </c>
    </row>
    <row r="36" spans="1:31" x14ac:dyDescent="0.25">
      <c r="A36">
        <v>35</v>
      </c>
      <c r="B36" t="s">
        <v>128</v>
      </c>
      <c r="C36" t="s">
        <v>50</v>
      </c>
      <c r="D36" s="6">
        <f t="shared" si="4"/>
        <v>12.649999999999999</v>
      </c>
      <c r="E36">
        <v>11.9</v>
      </c>
      <c r="F36">
        <v>190.2</v>
      </c>
      <c r="G36" s="3">
        <f t="shared" si="0"/>
        <v>12</v>
      </c>
      <c r="H36" s="3">
        <f t="shared" si="1"/>
        <v>0</v>
      </c>
      <c r="I36" s="3">
        <f t="shared" si="2"/>
        <v>0</v>
      </c>
      <c r="J36" s="3">
        <f t="shared" si="3"/>
        <v>16</v>
      </c>
      <c r="K36">
        <v>13.2</v>
      </c>
      <c r="L36">
        <v>11.6</v>
      </c>
      <c r="M36">
        <v>19.100000000000001</v>
      </c>
      <c r="N36">
        <v>11.7</v>
      </c>
      <c r="O36">
        <v>2.2999999999999998</v>
      </c>
      <c r="P36">
        <v>14.6</v>
      </c>
      <c r="Q36">
        <v>19.600000000000001</v>
      </c>
      <c r="R36">
        <v>10.9</v>
      </c>
      <c r="S36" t="s">
        <v>7</v>
      </c>
      <c r="T36">
        <v>17.3</v>
      </c>
      <c r="U36">
        <v>16.600000000000001</v>
      </c>
      <c r="V36">
        <v>9.1</v>
      </c>
      <c r="W36">
        <v>15.7</v>
      </c>
      <c r="X36">
        <v>15.2</v>
      </c>
      <c r="Y36">
        <v>12.1</v>
      </c>
      <c r="Z36">
        <v>0</v>
      </c>
      <c r="AA36" t="s">
        <v>8</v>
      </c>
      <c r="AB36">
        <v>1.2</v>
      </c>
    </row>
    <row r="37" spans="1:31" x14ac:dyDescent="0.25">
      <c r="A37">
        <v>36</v>
      </c>
      <c r="B37" t="s">
        <v>172</v>
      </c>
      <c r="C37" t="s">
        <v>16</v>
      </c>
      <c r="D37" s="6">
        <f t="shared" si="4"/>
        <v>11</v>
      </c>
      <c r="E37">
        <v>10.3</v>
      </c>
      <c r="F37">
        <v>174.4</v>
      </c>
      <c r="G37" s="3">
        <f t="shared" si="0"/>
        <v>9</v>
      </c>
      <c r="H37" s="3">
        <f t="shared" si="1"/>
        <v>0</v>
      </c>
      <c r="I37" s="3">
        <f t="shared" si="2"/>
        <v>0</v>
      </c>
      <c r="J37" s="3">
        <f t="shared" si="3"/>
        <v>17</v>
      </c>
      <c r="K37">
        <v>18.600000000000001</v>
      </c>
      <c r="L37">
        <v>5</v>
      </c>
      <c r="M37">
        <v>18.3</v>
      </c>
      <c r="N37">
        <v>18.5</v>
      </c>
      <c r="O37">
        <v>1.4</v>
      </c>
      <c r="P37" t="s">
        <v>7</v>
      </c>
      <c r="Q37">
        <v>11</v>
      </c>
      <c r="R37">
        <v>11.8</v>
      </c>
      <c r="S37">
        <v>6.6</v>
      </c>
      <c r="T37">
        <v>12.1</v>
      </c>
      <c r="U37">
        <v>16.3</v>
      </c>
      <c r="V37">
        <v>6.7</v>
      </c>
      <c r="W37">
        <v>11.2</v>
      </c>
      <c r="X37">
        <v>7.2</v>
      </c>
      <c r="Y37">
        <v>6</v>
      </c>
      <c r="Z37">
        <v>17.899999999999999</v>
      </c>
      <c r="AA37">
        <v>5.8</v>
      </c>
      <c r="AB37">
        <v>0</v>
      </c>
    </row>
    <row r="38" spans="1:31" x14ac:dyDescent="0.25">
      <c r="A38">
        <v>37</v>
      </c>
      <c r="B38" t="s">
        <v>120</v>
      </c>
      <c r="C38" t="s">
        <v>14</v>
      </c>
      <c r="D38" s="6">
        <f t="shared" si="4"/>
        <v>10.050000000000001</v>
      </c>
      <c r="E38">
        <v>10.9</v>
      </c>
      <c r="F38">
        <v>174.4</v>
      </c>
      <c r="G38" s="3">
        <f t="shared" si="0"/>
        <v>8</v>
      </c>
      <c r="H38" s="3">
        <f t="shared" si="1"/>
        <v>2</v>
      </c>
      <c r="I38" s="3">
        <f t="shared" si="2"/>
        <v>0</v>
      </c>
      <c r="J38" s="3">
        <f t="shared" si="3"/>
        <v>16</v>
      </c>
      <c r="K38">
        <v>0</v>
      </c>
      <c r="L38">
        <v>18.7</v>
      </c>
      <c r="M38">
        <v>5.0999999999999996</v>
      </c>
      <c r="N38">
        <v>11.8</v>
      </c>
      <c r="O38">
        <v>14.7</v>
      </c>
      <c r="P38">
        <v>21.5</v>
      </c>
      <c r="Q38">
        <v>11.4</v>
      </c>
      <c r="R38">
        <v>10.5</v>
      </c>
      <c r="S38" t="s">
        <v>8</v>
      </c>
      <c r="T38">
        <v>6.6</v>
      </c>
      <c r="U38" t="s">
        <v>7</v>
      </c>
      <c r="V38">
        <v>14.1</v>
      </c>
      <c r="W38">
        <v>1.8</v>
      </c>
      <c r="X38">
        <v>29.2</v>
      </c>
      <c r="Y38">
        <v>4.4000000000000004</v>
      </c>
      <c r="Z38">
        <v>6.9</v>
      </c>
      <c r="AA38">
        <v>9.6</v>
      </c>
      <c r="AB38">
        <v>8.1</v>
      </c>
    </row>
    <row r="39" spans="1:31" x14ac:dyDescent="0.25">
      <c r="A39">
        <v>38</v>
      </c>
      <c r="B39" t="s">
        <v>211</v>
      </c>
      <c r="C39" t="s">
        <v>26</v>
      </c>
      <c r="D39" s="6">
        <f t="shared" si="4"/>
        <v>8.75</v>
      </c>
      <c r="E39">
        <v>10.8</v>
      </c>
      <c r="F39">
        <v>173.2</v>
      </c>
      <c r="G39" s="3">
        <f t="shared" si="0"/>
        <v>8</v>
      </c>
      <c r="H39" s="3">
        <f t="shared" si="1"/>
        <v>1</v>
      </c>
      <c r="I39" s="3">
        <f t="shared" si="2"/>
        <v>1</v>
      </c>
      <c r="J39" s="3">
        <f t="shared" si="3"/>
        <v>16</v>
      </c>
      <c r="K39">
        <v>4.2</v>
      </c>
      <c r="L39" t="s">
        <v>8</v>
      </c>
      <c r="M39">
        <v>3.7</v>
      </c>
      <c r="N39">
        <v>6.7</v>
      </c>
      <c r="O39">
        <v>2.2999999999999998</v>
      </c>
      <c r="P39">
        <v>15</v>
      </c>
      <c r="Q39" t="s">
        <v>8</v>
      </c>
      <c r="R39">
        <v>14.2</v>
      </c>
      <c r="S39">
        <v>1.7</v>
      </c>
      <c r="T39">
        <v>32.299999999999997</v>
      </c>
      <c r="U39">
        <v>7.2</v>
      </c>
      <c r="V39">
        <v>17.2</v>
      </c>
      <c r="W39">
        <v>16.5</v>
      </c>
      <c r="X39">
        <v>5.7</v>
      </c>
      <c r="Y39">
        <v>3</v>
      </c>
      <c r="Z39">
        <v>10.3</v>
      </c>
      <c r="AA39">
        <v>17</v>
      </c>
      <c r="AB39">
        <v>16.2</v>
      </c>
    </row>
    <row r="40" spans="1:31" x14ac:dyDescent="0.25">
      <c r="A40">
        <v>39</v>
      </c>
      <c r="B40" t="s">
        <v>168</v>
      </c>
      <c r="C40" t="s">
        <v>32</v>
      </c>
      <c r="D40" s="6">
        <f t="shared" si="4"/>
        <v>17.2</v>
      </c>
      <c r="E40">
        <v>15</v>
      </c>
      <c r="F40">
        <v>165</v>
      </c>
      <c r="G40" s="3">
        <f t="shared" si="0"/>
        <v>6</v>
      </c>
      <c r="H40" s="3">
        <f t="shared" si="1"/>
        <v>4</v>
      </c>
      <c r="I40" s="3">
        <f t="shared" si="2"/>
        <v>0</v>
      </c>
      <c r="J40" s="3">
        <f t="shared" si="3"/>
        <v>11</v>
      </c>
      <c r="K40">
        <v>6.4</v>
      </c>
      <c r="L40">
        <v>20.2</v>
      </c>
      <c r="M40">
        <v>25.5</v>
      </c>
      <c r="N40">
        <v>3.9</v>
      </c>
      <c r="O40">
        <v>8.3000000000000007</v>
      </c>
      <c r="P40" t="s">
        <v>8</v>
      </c>
      <c r="Q40" t="s">
        <v>7</v>
      </c>
      <c r="R40">
        <v>6.1</v>
      </c>
      <c r="S40">
        <v>29.6</v>
      </c>
      <c r="T40">
        <v>18.899999999999999</v>
      </c>
      <c r="U40">
        <v>28.9</v>
      </c>
      <c r="V40">
        <v>17.2</v>
      </c>
      <c r="W40">
        <v>0</v>
      </c>
      <c r="X40" t="s">
        <v>8</v>
      </c>
      <c r="Y40" t="s">
        <v>8</v>
      </c>
      <c r="Z40" t="s">
        <v>8</v>
      </c>
      <c r="AA40" t="s">
        <v>8</v>
      </c>
      <c r="AB40" t="s">
        <v>8</v>
      </c>
      <c r="AE40" s="3">
        <f>MEDIAN(K5:AB43)</f>
        <v>12.850000000000001</v>
      </c>
    </row>
    <row r="41" spans="1:31" x14ac:dyDescent="0.25">
      <c r="A41">
        <v>40</v>
      </c>
      <c r="B41" t="s">
        <v>155</v>
      </c>
      <c r="C41" t="s">
        <v>53</v>
      </c>
      <c r="D41" s="6">
        <f t="shared" si="4"/>
        <v>11.8</v>
      </c>
      <c r="E41">
        <v>13.7</v>
      </c>
      <c r="F41">
        <v>164.4</v>
      </c>
      <c r="G41" s="3">
        <f t="shared" si="0"/>
        <v>7</v>
      </c>
      <c r="H41" s="3">
        <f t="shared" si="1"/>
        <v>3</v>
      </c>
      <c r="I41" s="3">
        <f t="shared" si="2"/>
        <v>0</v>
      </c>
      <c r="J41" s="3">
        <f t="shared" si="3"/>
        <v>12</v>
      </c>
      <c r="K41" t="s">
        <v>8</v>
      </c>
      <c r="L41" t="s">
        <v>8</v>
      </c>
      <c r="M41" t="s">
        <v>8</v>
      </c>
      <c r="N41" t="s">
        <v>8</v>
      </c>
      <c r="O41">
        <v>19.8</v>
      </c>
      <c r="P41">
        <v>27.8</v>
      </c>
      <c r="Q41">
        <v>6.9</v>
      </c>
      <c r="R41">
        <v>6.1</v>
      </c>
      <c r="S41">
        <v>6.8</v>
      </c>
      <c r="T41" t="s">
        <v>8</v>
      </c>
      <c r="U41">
        <v>2.1</v>
      </c>
      <c r="V41">
        <v>4.8</v>
      </c>
      <c r="W41">
        <v>15.9</v>
      </c>
      <c r="X41">
        <v>25.5</v>
      </c>
      <c r="Y41">
        <v>25.1</v>
      </c>
      <c r="Z41">
        <v>10.9</v>
      </c>
      <c r="AA41">
        <v>12.7</v>
      </c>
      <c r="AB41" t="s">
        <v>8</v>
      </c>
    </row>
    <row r="42" spans="1:31" x14ac:dyDescent="0.25">
      <c r="A42">
        <v>41</v>
      </c>
      <c r="B42" t="s">
        <v>225</v>
      </c>
      <c r="C42" t="s">
        <v>90</v>
      </c>
      <c r="D42" s="6">
        <f t="shared" si="4"/>
        <v>5.2</v>
      </c>
      <c r="E42">
        <v>9.5</v>
      </c>
      <c r="F42">
        <v>161.4</v>
      </c>
      <c r="G42" s="3">
        <f t="shared" si="0"/>
        <v>7</v>
      </c>
      <c r="H42" s="3">
        <f t="shared" si="1"/>
        <v>5</v>
      </c>
      <c r="I42" s="3">
        <f t="shared" si="2"/>
        <v>0</v>
      </c>
      <c r="J42" s="3">
        <f t="shared" si="3"/>
        <v>17</v>
      </c>
      <c r="K42">
        <v>5.2</v>
      </c>
      <c r="L42">
        <v>21.2</v>
      </c>
      <c r="M42">
        <v>10.3</v>
      </c>
      <c r="N42">
        <v>15.1</v>
      </c>
      <c r="O42">
        <v>22</v>
      </c>
      <c r="P42">
        <v>3.1</v>
      </c>
      <c r="Q42">
        <v>1.6</v>
      </c>
      <c r="R42">
        <v>23.7</v>
      </c>
      <c r="S42">
        <v>0</v>
      </c>
      <c r="T42">
        <v>9.6</v>
      </c>
      <c r="U42">
        <v>0</v>
      </c>
      <c r="V42">
        <v>22.5</v>
      </c>
      <c r="W42" t="s">
        <v>8</v>
      </c>
      <c r="X42">
        <v>0</v>
      </c>
      <c r="Y42">
        <v>0</v>
      </c>
      <c r="Z42">
        <v>23</v>
      </c>
      <c r="AA42">
        <v>4.0999999999999996</v>
      </c>
      <c r="AB42">
        <v>0</v>
      </c>
    </row>
    <row r="43" spans="1:31" x14ac:dyDescent="0.25">
      <c r="A43">
        <v>42</v>
      </c>
      <c r="B43" t="s">
        <v>220</v>
      </c>
      <c r="C43" t="s">
        <v>22</v>
      </c>
      <c r="D43" s="6">
        <f t="shared" si="4"/>
        <v>6.95</v>
      </c>
      <c r="E43">
        <v>9.8000000000000007</v>
      </c>
      <c r="F43">
        <v>157.19999999999999</v>
      </c>
      <c r="G43" s="3">
        <f t="shared" si="0"/>
        <v>7</v>
      </c>
      <c r="H43" s="3">
        <f t="shared" si="1"/>
        <v>1</v>
      </c>
      <c r="I43" s="3">
        <f t="shared" si="2"/>
        <v>0</v>
      </c>
      <c r="J43" s="3">
        <f t="shared" si="3"/>
        <v>16</v>
      </c>
      <c r="K43">
        <v>11</v>
      </c>
      <c r="L43">
        <v>6.2</v>
      </c>
      <c r="M43">
        <v>7.4</v>
      </c>
      <c r="N43">
        <v>18.2</v>
      </c>
      <c r="O43">
        <v>18.5</v>
      </c>
      <c r="P43">
        <v>14.2</v>
      </c>
      <c r="Q43">
        <v>6.5</v>
      </c>
      <c r="R43">
        <v>6.2</v>
      </c>
      <c r="S43" t="s">
        <v>8</v>
      </c>
      <c r="T43">
        <v>2.6</v>
      </c>
      <c r="U43">
        <v>1.5</v>
      </c>
      <c r="V43">
        <v>19</v>
      </c>
      <c r="W43">
        <v>10.5</v>
      </c>
      <c r="X43" t="s">
        <v>8</v>
      </c>
      <c r="Y43">
        <v>21.1</v>
      </c>
      <c r="Z43">
        <v>3</v>
      </c>
      <c r="AA43">
        <v>6.3</v>
      </c>
      <c r="AB43">
        <v>5</v>
      </c>
    </row>
    <row r="44" spans="1:31" x14ac:dyDescent="0.25">
      <c r="A44">
        <v>43</v>
      </c>
      <c r="B44" t="s">
        <v>151</v>
      </c>
      <c r="C44" t="s">
        <v>24</v>
      </c>
      <c r="D44" s="6">
        <f t="shared" si="4"/>
        <v>7.7</v>
      </c>
      <c r="E44">
        <v>9.1999999999999993</v>
      </c>
      <c r="F44">
        <v>157.1</v>
      </c>
      <c r="G44" s="3">
        <f t="shared" si="0"/>
        <v>5</v>
      </c>
      <c r="H44" s="3">
        <f t="shared" si="1"/>
        <v>1</v>
      </c>
      <c r="I44" s="3">
        <f t="shared" si="2"/>
        <v>0</v>
      </c>
      <c r="J44" s="3">
        <f t="shared" si="3"/>
        <v>17</v>
      </c>
      <c r="K44">
        <v>6</v>
      </c>
      <c r="L44">
        <v>7.7</v>
      </c>
      <c r="M44">
        <v>13.7</v>
      </c>
      <c r="N44">
        <v>5.4</v>
      </c>
      <c r="O44">
        <v>15.7</v>
      </c>
      <c r="P44">
        <v>13.1</v>
      </c>
      <c r="Q44">
        <v>23.5</v>
      </c>
      <c r="R44">
        <v>14.2</v>
      </c>
      <c r="S44">
        <v>2</v>
      </c>
      <c r="T44">
        <v>6</v>
      </c>
      <c r="U44" t="s">
        <v>7</v>
      </c>
      <c r="V44">
        <v>9.3000000000000007</v>
      </c>
      <c r="W44">
        <v>4.4000000000000004</v>
      </c>
      <c r="X44">
        <v>6.2</v>
      </c>
      <c r="Y44">
        <v>4.9000000000000004</v>
      </c>
      <c r="Z44">
        <v>9.9</v>
      </c>
      <c r="AA44">
        <v>7.3</v>
      </c>
      <c r="AB44">
        <v>7.8</v>
      </c>
    </row>
    <row r="45" spans="1:31" x14ac:dyDescent="0.25">
      <c r="A45">
        <v>44</v>
      </c>
      <c r="B45" t="s">
        <v>203</v>
      </c>
      <c r="C45" t="s">
        <v>26</v>
      </c>
      <c r="D45" s="6">
        <f t="shared" si="4"/>
        <v>6.9</v>
      </c>
      <c r="E45">
        <v>9.6999999999999993</v>
      </c>
      <c r="F45">
        <v>155.6</v>
      </c>
      <c r="G45" s="3">
        <f t="shared" si="0"/>
        <v>6</v>
      </c>
      <c r="H45" s="3">
        <f t="shared" si="1"/>
        <v>1</v>
      </c>
      <c r="I45" s="3">
        <f t="shared" si="2"/>
        <v>0</v>
      </c>
      <c r="J45" s="3">
        <f t="shared" si="3"/>
        <v>16</v>
      </c>
      <c r="K45">
        <v>19</v>
      </c>
      <c r="L45">
        <v>10.3</v>
      </c>
      <c r="M45">
        <v>6</v>
      </c>
      <c r="N45">
        <v>6.3</v>
      </c>
      <c r="O45">
        <v>4.8</v>
      </c>
      <c r="P45">
        <v>18.3</v>
      </c>
      <c r="Q45">
        <v>7.2</v>
      </c>
      <c r="R45">
        <v>24.3</v>
      </c>
      <c r="S45">
        <v>5.2</v>
      </c>
      <c r="T45">
        <v>7.4</v>
      </c>
      <c r="U45" t="s">
        <v>7</v>
      </c>
      <c r="V45">
        <v>2.9</v>
      </c>
      <c r="W45" t="s">
        <v>8</v>
      </c>
      <c r="X45">
        <v>0</v>
      </c>
      <c r="Y45">
        <v>6.6</v>
      </c>
      <c r="Z45">
        <v>18.399999999999999</v>
      </c>
      <c r="AA45">
        <v>3.4</v>
      </c>
      <c r="AB45">
        <v>15.5</v>
      </c>
    </row>
    <row r="46" spans="1:31" x14ac:dyDescent="0.25">
      <c r="A46">
        <v>45</v>
      </c>
      <c r="B46" t="s">
        <v>201</v>
      </c>
      <c r="C46" t="s">
        <v>69</v>
      </c>
      <c r="D46" s="6">
        <f t="shared" si="4"/>
        <v>12.9</v>
      </c>
      <c r="E46">
        <v>11.7</v>
      </c>
      <c r="F46">
        <v>152.69999999999999</v>
      </c>
      <c r="G46" s="3">
        <f t="shared" si="0"/>
        <v>8</v>
      </c>
      <c r="H46" s="3">
        <f t="shared" si="1"/>
        <v>1</v>
      </c>
      <c r="I46" s="3">
        <f t="shared" si="2"/>
        <v>0</v>
      </c>
      <c r="J46" s="3">
        <f t="shared" si="3"/>
        <v>13</v>
      </c>
      <c r="K46">
        <v>7.8</v>
      </c>
      <c r="L46" t="s">
        <v>8</v>
      </c>
      <c r="M46" t="s">
        <v>8</v>
      </c>
      <c r="N46" t="s">
        <v>8</v>
      </c>
      <c r="O46" t="s">
        <v>7</v>
      </c>
      <c r="P46" t="s">
        <v>8</v>
      </c>
      <c r="Q46">
        <v>12.9</v>
      </c>
      <c r="R46">
        <v>16.5</v>
      </c>
      <c r="S46">
        <v>22</v>
      </c>
      <c r="T46">
        <v>2.7</v>
      </c>
      <c r="U46">
        <v>3.6</v>
      </c>
      <c r="V46">
        <v>9</v>
      </c>
      <c r="W46">
        <v>13.3</v>
      </c>
      <c r="X46">
        <v>14.7</v>
      </c>
      <c r="Y46">
        <v>16.2</v>
      </c>
      <c r="Z46">
        <v>3.5</v>
      </c>
      <c r="AA46">
        <v>11.6</v>
      </c>
      <c r="AB46">
        <v>18.899999999999999</v>
      </c>
    </row>
    <row r="47" spans="1:31" x14ac:dyDescent="0.25">
      <c r="A47">
        <v>46</v>
      </c>
      <c r="B47" t="s">
        <v>187</v>
      </c>
      <c r="C47" t="s">
        <v>55</v>
      </c>
      <c r="D47" s="6">
        <f t="shared" si="4"/>
        <v>6.2</v>
      </c>
      <c r="E47">
        <v>8.9</v>
      </c>
      <c r="F47">
        <v>151</v>
      </c>
      <c r="G47" s="3">
        <f t="shared" si="0"/>
        <v>6</v>
      </c>
      <c r="H47" s="3">
        <f t="shared" si="1"/>
        <v>1</v>
      </c>
      <c r="I47" s="3">
        <f t="shared" si="2"/>
        <v>0</v>
      </c>
      <c r="J47" s="3">
        <f t="shared" si="3"/>
        <v>17</v>
      </c>
      <c r="K47">
        <v>4.5</v>
      </c>
      <c r="L47">
        <v>9.1999999999999993</v>
      </c>
      <c r="M47">
        <v>6.2</v>
      </c>
      <c r="N47">
        <v>4.3</v>
      </c>
      <c r="O47">
        <v>5.5</v>
      </c>
      <c r="P47">
        <v>10.9</v>
      </c>
      <c r="Q47">
        <v>3.2</v>
      </c>
      <c r="R47">
        <v>0.9</v>
      </c>
      <c r="S47">
        <v>9.9</v>
      </c>
      <c r="T47">
        <v>5.0999999999999996</v>
      </c>
      <c r="U47">
        <v>18.2</v>
      </c>
      <c r="V47">
        <v>3.6</v>
      </c>
      <c r="W47" t="s">
        <v>7</v>
      </c>
      <c r="X47">
        <v>3.4</v>
      </c>
      <c r="Y47">
        <v>10.3</v>
      </c>
      <c r="Z47">
        <v>18</v>
      </c>
      <c r="AA47">
        <v>20.6</v>
      </c>
      <c r="AB47">
        <v>17.2</v>
      </c>
    </row>
    <row r="48" spans="1:31" x14ac:dyDescent="0.25">
      <c r="A48">
        <v>47</v>
      </c>
      <c r="B48" t="s">
        <v>210</v>
      </c>
      <c r="C48" t="s">
        <v>32</v>
      </c>
      <c r="D48" s="6">
        <f t="shared" si="4"/>
        <v>14.15</v>
      </c>
      <c r="E48">
        <v>12.5</v>
      </c>
      <c r="F48">
        <v>150.30000000000001</v>
      </c>
      <c r="G48" s="3">
        <f t="shared" si="0"/>
        <v>8</v>
      </c>
      <c r="H48" s="3">
        <f t="shared" si="1"/>
        <v>1</v>
      </c>
      <c r="I48" s="3">
        <f t="shared" si="2"/>
        <v>0</v>
      </c>
      <c r="J48" s="3">
        <f t="shared" si="3"/>
        <v>12</v>
      </c>
      <c r="K48">
        <v>1.9</v>
      </c>
      <c r="L48">
        <v>22</v>
      </c>
      <c r="M48">
        <v>15.4</v>
      </c>
      <c r="N48">
        <v>16.399999999999999</v>
      </c>
      <c r="O48">
        <v>14.4</v>
      </c>
      <c r="P48">
        <v>13.9</v>
      </c>
      <c r="Q48">
        <v>19</v>
      </c>
      <c r="R48">
        <v>8.6</v>
      </c>
      <c r="S48" t="s">
        <v>8</v>
      </c>
      <c r="T48">
        <v>14.4</v>
      </c>
      <c r="U48">
        <v>7.8</v>
      </c>
      <c r="V48">
        <v>12.9</v>
      </c>
      <c r="W48">
        <v>3.6</v>
      </c>
      <c r="X48" t="s">
        <v>8</v>
      </c>
      <c r="Y48" t="s">
        <v>8</v>
      </c>
      <c r="Z48" t="s">
        <v>8</v>
      </c>
      <c r="AA48" t="s">
        <v>8</v>
      </c>
      <c r="AB48" t="s">
        <v>8</v>
      </c>
    </row>
    <row r="49" spans="1:28" x14ac:dyDescent="0.25">
      <c r="A49">
        <v>48</v>
      </c>
      <c r="B49" t="s">
        <v>125</v>
      </c>
      <c r="C49" t="s">
        <v>53</v>
      </c>
      <c r="D49" s="6">
        <f t="shared" si="4"/>
        <v>8.4</v>
      </c>
      <c r="E49">
        <v>8.8000000000000007</v>
      </c>
      <c r="F49">
        <v>149.80000000000001</v>
      </c>
      <c r="G49" s="3">
        <f t="shared" si="0"/>
        <v>6</v>
      </c>
      <c r="H49" s="3">
        <f t="shared" si="1"/>
        <v>0</v>
      </c>
      <c r="I49" s="3">
        <f t="shared" si="2"/>
        <v>0</v>
      </c>
      <c r="J49" s="3">
        <f t="shared" si="3"/>
        <v>17</v>
      </c>
      <c r="K49">
        <v>4.3</v>
      </c>
      <c r="L49">
        <v>8.4</v>
      </c>
      <c r="M49">
        <v>2</v>
      </c>
      <c r="N49">
        <v>3.5</v>
      </c>
      <c r="O49" t="s">
        <v>7</v>
      </c>
      <c r="P49">
        <v>8.8000000000000007</v>
      </c>
      <c r="Q49">
        <v>16.3</v>
      </c>
      <c r="R49">
        <v>12.6</v>
      </c>
      <c r="S49">
        <v>12.3</v>
      </c>
      <c r="T49">
        <v>9.3000000000000007</v>
      </c>
      <c r="U49">
        <v>7</v>
      </c>
      <c r="V49">
        <v>6.1</v>
      </c>
      <c r="W49">
        <v>13.2</v>
      </c>
      <c r="X49">
        <v>6.5</v>
      </c>
      <c r="Y49">
        <v>14.8</v>
      </c>
      <c r="Z49">
        <v>12.1</v>
      </c>
      <c r="AA49">
        <v>8.1999999999999993</v>
      </c>
      <c r="AB49">
        <v>4.4000000000000004</v>
      </c>
    </row>
    <row r="50" spans="1:28" x14ac:dyDescent="0.25">
      <c r="A50">
        <v>49</v>
      </c>
      <c r="B50" t="s">
        <v>209</v>
      </c>
      <c r="C50" t="s">
        <v>90</v>
      </c>
      <c r="D50" s="6">
        <f t="shared" si="4"/>
        <v>8.1999999999999993</v>
      </c>
      <c r="E50">
        <v>8.6</v>
      </c>
      <c r="F50">
        <v>145.80000000000001</v>
      </c>
      <c r="G50" s="3">
        <f t="shared" si="0"/>
        <v>5</v>
      </c>
      <c r="H50" s="3">
        <f t="shared" si="1"/>
        <v>0</v>
      </c>
      <c r="I50" s="3">
        <f t="shared" si="2"/>
        <v>0</v>
      </c>
      <c r="J50" s="3">
        <f t="shared" si="3"/>
        <v>17</v>
      </c>
      <c r="K50">
        <v>3</v>
      </c>
      <c r="L50">
        <v>11.2</v>
      </c>
      <c r="M50">
        <v>8.9</v>
      </c>
      <c r="N50">
        <v>6.6</v>
      </c>
      <c r="O50">
        <v>9.9</v>
      </c>
      <c r="P50">
        <v>16.8</v>
      </c>
      <c r="Q50" t="s">
        <v>8</v>
      </c>
      <c r="R50">
        <v>13.6</v>
      </c>
      <c r="S50">
        <v>8.6</v>
      </c>
      <c r="T50">
        <v>19.7</v>
      </c>
      <c r="U50">
        <v>5.2</v>
      </c>
      <c r="V50">
        <v>5.3</v>
      </c>
      <c r="W50">
        <v>8.1999999999999993</v>
      </c>
      <c r="X50">
        <v>4.3</v>
      </c>
      <c r="Y50">
        <v>7.3</v>
      </c>
      <c r="Z50">
        <v>10.9</v>
      </c>
      <c r="AA50">
        <v>4.9000000000000004</v>
      </c>
      <c r="AB50">
        <v>1.4</v>
      </c>
    </row>
    <row r="51" spans="1:28" x14ac:dyDescent="0.25">
      <c r="A51">
        <v>50</v>
      </c>
      <c r="B51" t="s">
        <v>130</v>
      </c>
      <c r="C51" t="s">
        <v>69</v>
      </c>
      <c r="D51" s="6">
        <f t="shared" si="4"/>
        <v>8.3000000000000007</v>
      </c>
      <c r="E51">
        <v>8.9</v>
      </c>
      <c r="F51">
        <v>141.80000000000001</v>
      </c>
      <c r="G51" s="3">
        <f t="shared" si="0"/>
        <v>7</v>
      </c>
      <c r="H51" s="3">
        <f t="shared" si="1"/>
        <v>0</v>
      </c>
      <c r="I51" s="3">
        <f t="shared" si="2"/>
        <v>0</v>
      </c>
      <c r="J51" s="3">
        <f t="shared" si="3"/>
        <v>16</v>
      </c>
      <c r="K51" t="s">
        <v>8</v>
      </c>
      <c r="L51">
        <v>5.5</v>
      </c>
      <c r="M51">
        <v>13.1</v>
      </c>
      <c r="N51">
        <v>8.1999999999999993</v>
      </c>
      <c r="O51">
        <v>11</v>
      </c>
      <c r="P51">
        <v>4.4000000000000004</v>
      </c>
      <c r="Q51">
        <v>11.4</v>
      </c>
      <c r="R51">
        <v>13</v>
      </c>
      <c r="S51" t="s">
        <v>8</v>
      </c>
      <c r="T51">
        <v>6.5</v>
      </c>
      <c r="U51">
        <v>10.8</v>
      </c>
      <c r="V51">
        <v>3.1</v>
      </c>
      <c r="W51">
        <v>8.1</v>
      </c>
      <c r="X51">
        <v>3.6</v>
      </c>
      <c r="Y51">
        <v>10.4</v>
      </c>
      <c r="Z51">
        <v>7.4</v>
      </c>
      <c r="AA51">
        <v>8.4</v>
      </c>
      <c r="AB51">
        <v>16.899999999999999</v>
      </c>
    </row>
    <row r="52" spans="1:28" x14ac:dyDescent="0.25">
      <c r="A52">
        <v>51</v>
      </c>
      <c r="B52" t="s">
        <v>132</v>
      </c>
      <c r="C52" t="s">
        <v>30</v>
      </c>
      <c r="D52" s="6">
        <f t="shared" si="4"/>
        <v>7.8999999999999995</v>
      </c>
      <c r="E52">
        <v>11.5</v>
      </c>
      <c r="F52">
        <v>137.6</v>
      </c>
      <c r="G52" s="3">
        <f t="shared" si="0"/>
        <v>5</v>
      </c>
      <c r="H52" s="3">
        <f t="shared" si="1"/>
        <v>3</v>
      </c>
      <c r="I52" s="3">
        <f t="shared" si="2"/>
        <v>0</v>
      </c>
      <c r="J52" s="3">
        <f t="shared" si="3"/>
        <v>12</v>
      </c>
      <c r="K52">
        <v>0</v>
      </c>
      <c r="L52">
        <v>28.9</v>
      </c>
      <c r="M52">
        <v>4.0999999999999996</v>
      </c>
      <c r="N52">
        <v>3.9</v>
      </c>
      <c r="O52" t="s">
        <v>8</v>
      </c>
      <c r="P52">
        <v>4</v>
      </c>
      <c r="Q52" t="s">
        <v>7</v>
      </c>
      <c r="R52">
        <v>11.9</v>
      </c>
      <c r="S52">
        <v>19</v>
      </c>
      <c r="T52" t="s">
        <v>8</v>
      </c>
      <c r="U52" t="s">
        <v>8</v>
      </c>
      <c r="V52" t="s">
        <v>8</v>
      </c>
      <c r="W52">
        <v>6.6</v>
      </c>
      <c r="X52">
        <v>9.1999999999999993</v>
      </c>
      <c r="Y52">
        <v>22.1</v>
      </c>
      <c r="Z52">
        <v>25</v>
      </c>
      <c r="AA52">
        <v>2.9</v>
      </c>
      <c r="AB52" t="s">
        <v>8</v>
      </c>
    </row>
    <row r="53" spans="1:28" x14ac:dyDescent="0.25">
      <c r="A53">
        <v>52</v>
      </c>
      <c r="B53" t="s">
        <v>262</v>
      </c>
      <c r="C53" t="s">
        <v>62</v>
      </c>
      <c r="D53" s="6">
        <f t="shared" si="4"/>
        <v>8.3000000000000007</v>
      </c>
      <c r="E53">
        <v>9.6</v>
      </c>
      <c r="F53">
        <v>134.69999999999999</v>
      </c>
      <c r="G53" s="3">
        <f t="shared" si="0"/>
        <v>6</v>
      </c>
      <c r="H53" s="3">
        <f t="shared" si="1"/>
        <v>0</v>
      </c>
      <c r="I53" s="3">
        <f t="shared" si="2"/>
        <v>0</v>
      </c>
      <c r="J53" s="3">
        <f t="shared" si="3"/>
        <v>14</v>
      </c>
      <c r="K53">
        <v>8.6999999999999993</v>
      </c>
      <c r="L53">
        <v>17.399999999999999</v>
      </c>
      <c r="M53">
        <v>17.100000000000001</v>
      </c>
      <c r="N53">
        <v>16.600000000000001</v>
      </c>
      <c r="O53">
        <v>16.100000000000001</v>
      </c>
      <c r="P53">
        <v>7.4</v>
      </c>
      <c r="Q53">
        <v>7.9</v>
      </c>
      <c r="R53">
        <v>15.3</v>
      </c>
      <c r="S53">
        <v>6.4</v>
      </c>
      <c r="T53">
        <v>3.8</v>
      </c>
      <c r="U53">
        <v>3.2</v>
      </c>
      <c r="V53">
        <v>14.8</v>
      </c>
      <c r="W53">
        <v>0</v>
      </c>
      <c r="X53" t="s">
        <v>8</v>
      </c>
      <c r="Y53">
        <v>0</v>
      </c>
      <c r="Z53" t="s">
        <v>8</v>
      </c>
      <c r="AA53" t="s">
        <v>8</v>
      </c>
      <c r="AB53" t="s">
        <v>8</v>
      </c>
    </row>
    <row r="54" spans="1:28" x14ac:dyDescent="0.25">
      <c r="A54">
        <v>53</v>
      </c>
      <c r="B54" t="s">
        <v>156</v>
      </c>
      <c r="C54" t="s">
        <v>55</v>
      </c>
      <c r="D54" s="6">
        <f t="shared" si="4"/>
        <v>6.7</v>
      </c>
      <c r="E54">
        <v>8.9</v>
      </c>
      <c r="F54">
        <v>133.19999999999999</v>
      </c>
      <c r="G54" s="3">
        <f t="shared" si="0"/>
        <v>5</v>
      </c>
      <c r="H54" s="3">
        <f t="shared" si="1"/>
        <v>0</v>
      </c>
      <c r="I54" s="3">
        <f t="shared" si="2"/>
        <v>0</v>
      </c>
      <c r="J54" s="3">
        <f t="shared" si="3"/>
        <v>15</v>
      </c>
      <c r="K54" t="s">
        <v>8</v>
      </c>
      <c r="L54" t="s">
        <v>8</v>
      </c>
      <c r="M54">
        <v>6.1</v>
      </c>
      <c r="N54">
        <v>9.6999999999999993</v>
      </c>
      <c r="O54">
        <v>6.9</v>
      </c>
      <c r="P54">
        <v>14.2</v>
      </c>
      <c r="Q54">
        <v>3.2</v>
      </c>
      <c r="R54">
        <v>1.7</v>
      </c>
      <c r="S54">
        <v>13.5</v>
      </c>
      <c r="T54">
        <v>2.6</v>
      </c>
      <c r="U54">
        <v>6.7</v>
      </c>
      <c r="V54">
        <v>6.6</v>
      </c>
      <c r="W54" t="s">
        <v>7</v>
      </c>
      <c r="X54">
        <v>17.5</v>
      </c>
      <c r="Y54">
        <v>6.5</v>
      </c>
      <c r="Z54">
        <v>4.5999999999999996</v>
      </c>
      <c r="AA54">
        <v>19.899999999999999</v>
      </c>
      <c r="AB54">
        <v>13.5</v>
      </c>
    </row>
    <row r="55" spans="1:28" x14ac:dyDescent="0.25">
      <c r="A55">
        <v>54</v>
      </c>
      <c r="B55" t="s">
        <v>188</v>
      </c>
      <c r="C55" t="s">
        <v>22</v>
      </c>
      <c r="D55" s="6">
        <f t="shared" si="4"/>
        <v>7.1</v>
      </c>
      <c r="E55">
        <v>7.8</v>
      </c>
      <c r="F55">
        <v>132.1</v>
      </c>
      <c r="G55" s="3">
        <f t="shared" si="0"/>
        <v>5</v>
      </c>
      <c r="H55" s="3">
        <f t="shared" si="1"/>
        <v>0</v>
      </c>
      <c r="I55" s="3">
        <f t="shared" si="2"/>
        <v>0</v>
      </c>
      <c r="J55" s="3">
        <f t="shared" si="3"/>
        <v>17</v>
      </c>
      <c r="K55">
        <v>9.1999999999999993</v>
      </c>
      <c r="L55">
        <v>7.1</v>
      </c>
      <c r="M55">
        <v>11.8</v>
      </c>
      <c r="N55">
        <v>2</v>
      </c>
      <c r="O55" t="s">
        <v>8</v>
      </c>
      <c r="P55">
        <v>6.7</v>
      </c>
      <c r="Q55">
        <v>9.9</v>
      </c>
      <c r="R55">
        <v>5</v>
      </c>
      <c r="S55">
        <v>3.4</v>
      </c>
      <c r="T55">
        <v>15.4</v>
      </c>
      <c r="U55">
        <v>12</v>
      </c>
      <c r="V55">
        <v>5.4</v>
      </c>
      <c r="W55">
        <v>12.3</v>
      </c>
      <c r="X55">
        <v>7.2</v>
      </c>
      <c r="Y55">
        <v>3.7</v>
      </c>
      <c r="Z55">
        <v>3.9</v>
      </c>
      <c r="AA55">
        <v>17.100000000000001</v>
      </c>
      <c r="AB55">
        <v>0</v>
      </c>
    </row>
    <row r="56" spans="1:28" x14ac:dyDescent="0.25">
      <c r="A56">
        <v>55</v>
      </c>
      <c r="B56" t="s">
        <v>235</v>
      </c>
      <c r="C56" t="s">
        <v>40</v>
      </c>
      <c r="D56" s="6">
        <f t="shared" si="4"/>
        <v>7.15</v>
      </c>
      <c r="E56">
        <v>8.1</v>
      </c>
      <c r="F56">
        <v>128.80000000000001</v>
      </c>
      <c r="G56" s="3">
        <f t="shared" si="0"/>
        <v>4</v>
      </c>
      <c r="H56" s="3">
        <f t="shared" si="1"/>
        <v>1</v>
      </c>
      <c r="I56" s="3">
        <f t="shared" si="2"/>
        <v>0</v>
      </c>
      <c r="J56" s="3">
        <f t="shared" si="3"/>
        <v>16</v>
      </c>
      <c r="K56">
        <v>12</v>
      </c>
      <c r="L56">
        <v>23.6</v>
      </c>
      <c r="M56" t="s">
        <v>8</v>
      </c>
      <c r="N56">
        <v>9.9</v>
      </c>
      <c r="O56">
        <v>17.600000000000001</v>
      </c>
      <c r="P56">
        <v>8</v>
      </c>
      <c r="Q56">
        <v>6.3</v>
      </c>
      <c r="R56">
        <v>0.3</v>
      </c>
      <c r="S56" t="s">
        <v>8</v>
      </c>
      <c r="T56">
        <v>3.5</v>
      </c>
      <c r="U56">
        <v>2.1</v>
      </c>
      <c r="V56">
        <v>9.5</v>
      </c>
      <c r="W56">
        <v>2.2000000000000002</v>
      </c>
      <c r="X56">
        <v>13.4</v>
      </c>
      <c r="Y56">
        <v>6.1</v>
      </c>
      <c r="Z56">
        <v>2.6</v>
      </c>
      <c r="AA56">
        <v>2.2999999999999998</v>
      </c>
      <c r="AB56">
        <v>9.4</v>
      </c>
    </row>
    <row r="57" spans="1:28" x14ac:dyDescent="0.25">
      <c r="A57">
        <v>56</v>
      </c>
      <c r="B57" t="s">
        <v>234</v>
      </c>
      <c r="C57" t="s">
        <v>6</v>
      </c>
      <c r="D57" s="6">
        <f t="shared" si="4"/>
        <v>5.2</v>
      </c>
      <c r="E57">
        <v>7.3</v>
      </c>
      <c r="F57">
        <v>124.8</v>
      </c>
      <c r="G57" s="3">
        <f t="shared" si="0"/>
        <v>5</v>
      </c>
      <c r="H57" s="3">
        <f t="shared" si="1"/>
        <v>1</v>
      </c>
      <c r="I57" s="3">
        <f t="shared" si="2"/>
        <v>0</v>
      </c>
      <c r="J57" s="3">
        <f t="shared" si="3"/>
        <v>17</v>
      </c>
      <c r="K57">
        <v>9</v>
      </c>
      <c r="L57">
        <v>5.2</v>
      </c>
      <c r="M57">
        <v>4.0999999999999996</v>
      </c>
      <c r="N57">
        <v>12.7</v>
      </c>
      <c r="O57">
        <v>6</v>
      </c>
      <c r="P57">
        <v>0</v>
      </c>
      <c r="Q57">
        <v>9.3000000000000007</v>
      </c>
      <c r="R57">
        <v>24.8</v>
      </c>
      <c r="S57">
        <v>16.899999999999999</v>
      </c>
      <c r="T57">
        <v>0</v>
      </c>
      <c r="U57">
        <v>11.3</v>
      </c>
      <c r="V57">
        <v>10.199999999999999</v>
      </c>
      <c r="W57">
        <v>4.3</v>
      </c>
      <c r="X57" t="s">
        <v>8</v>
      </c>
      <c r="Y57">
        <v>2.2000000000000002</v>
      </c>
      <c r="Z57">
        <v>5.0999999999999996</v>
      </c>
      <c r="AA57">
        <v>0</v>
      </c>
      <c r="AB57">
        <v>3.7</v>
      </c>
    </row>
    <row r="58" spans="1:28" x14ac:dyDescent="0.25">
      <c r="A58">
        <v>57</v>
      </c>
      <c r="B58" t="s">
        <v>258</v>
      </c>
      <c r="C58" t="s">
        <v>60</v>
      </c>
      <c r="D58" s="6">
        <f t="shared" si="4"/>
        <v>6.25</v>
      </c>
      <c r="E58">
        <v>7.5</v>
      </c>
      <c r="F58">
        <v>120</v>
      </c>
      <c r="G58" s="3">
        <f t="shared" si="0"/>
        <v>4</v>
      </c>
      <c r="H58" s="3">
        <f t="shared" si="1"/>
        <v>1</v>
      </c>
      <c r="I58" s="3">
        <f t="shared" si="2"/>
        <v>0</v>
      </c>
      <c r="J58" s="3">
        <f t="shared" si="3"/>
        <v>16</v>
      </c>
      <c r="K58">
        <v>6.1</v>
      </c>
      <c r="L58">
        <v>12.4</v>
      </c>
      <c r="M58">
        <v>10.6</v>
      </c>
      <c r="N58">
        <v>2.6</v>
      </c>
      <c r="O58">
        <v>9.9</v>
      </c>
      <c r="P58">
        <v>8.8000000000000007</v>
      </c>
      <c r="Q58">
        <v>9.6999999999999993</v>
      </c>
      <c r="R58">
        <v>17.899999999999999</v>
      </c>
      <c r="S58">
        <v>3.7</v>
      </c>
      <c r="T58" t="s">
        <v>8</v>
      </c>
      <c r="U58">
        <v>1.7</v>
      </c>
      <c r="V58">
        <v>6.4</v>
      </c>
      <c r="W58" t="s">
        <v>8</v>
      </c>
      <c r="X58">
        <v>5.5</v>
      </c>
      <c r="Y58">
        <v>1.3</v>
      </c>
      <c r="Z58">
        <v>20.5</v>
      </c>
      <c r="AA58">
        <v>0</v>
      </c>
      <c r="AB58">
        <v>2.9</v>
      </c>
    </row>
    <row r="59" spans="1:28" x14ac:dyDescent="0.25">
      <c r="A59">
        <v>58</v>
      </c>
      <c r="B59" t="s">
        <v>185</v>
      </c>
      <c r="C59" t="s">
        <v>16</v>
      </c>
      <c r="D59" s="6">
        <f t="shared" si="4"/>
        <v>7.3</v>
      </c>
      <c r="E59">
        <v>8</v>
      </c>
      <c r="F59">
        <v>119.8</v>
      </c>
      <c r="G59" s="3">
        <f t="shared" si="0"/>
        <v>5</v>
      </c>
      <c r="H59" s="3">
        <f t="shared" si="1"/>
        <v>1</v>
      </c>
      <c r="I59" s="3">
        <f t="shared" si="2"/>
        <v>0</v>
      </c>
      <c r="J59" s="3">
        <f t="shared" si="3"/>
        <v>15</v>
      </c>
      <c r="K59">
        <v>0</v>
      </c>
      <c r="L59">
        <v>12</v>
      </c>
      <c r="M59">
        <v>8.5</v>
      </c>
      <c r="N59">
        <v>0</v>
      </c>
      <c r="O59">
        <v>2</v>
      </c>
      <c r="P59" t="s">
        <v>7</v>
      </c>
      <c r="Q59">
        <v>3.4</v>
      </c>
      <c r="R59">
        <v>4.8</v>
      </c>
      <c r="S59">
        <v>6.9</v>
      </c>
      <c r="T59">
        <v>8.1</v>
      </c>
      <c r="U59">
        <v>12.1</v>
      </c>
      <c r="V59" t="s">
        <v>8</v>
      </c>
      <c r="W59">
        <v>7.3</v>
      </c>
      <c r="X59">
        <v>4</v>
      </c>
      <c r="Y59">
        <v>15.7</v>
      </c>
      <c r="Z59">
        <v>10.9</v>
      </c>
      <c r="AA59" t="s">
        <v>8</v>
      </c>
      <c r="AB59">
        <v>24.1</v>
      </c>
    </row>
    <row r="60" spans="1:28" x14ac:dyDescent="0.25">
      <c r="A60">
        <v>59</v>
      </c>
      <c r="B60" t="s">
        <v>273</v>
      </c>
      <c r="C60" t="s">
        <v>14</v>
      </c>
      <c r="D60" s="6">
        <f t="shared" si="4"/>
        <v>4.8</v>
      </c>
      <c r="E60">
        <v>7.7</v>
      </c>
      <c r="F60">
        <v>115.5</v>
      </c>
      <c r="G60" s="3">
        <f t="shared" si="0"/>
        <v>3</v>
      </c>
      <c r="H60" s="3">
        <f t="shared" si="1"/>
        <v>1</v>
      </c>
      <c r="I60" s="3">
        <f t="shared" si="2"/>
        <v>0</v>
      </c>
      <c r="J60" s="3">
        <f t="shared" si="3"/>
        <v>15</v>
      </c>
      <c r="K60" t="s">
        <v>8</v>
      </c>
      <c r="L60">
        <v>2.5</v>
      </c>
      <c r="M60">
        <v>18.600000000000001</v>
      </c>
      <c r="N60">
        <v>4.8</v>
      </c>
      <c r="O60">
        <v>13.2</v>
      </c>
      <c r="P60">
        <v>5.6</v>
      </c>
      <c r="Q60" t="s">
        <v>8</v>
      </c>
      <c r="R60">
        <v>4.3</v>
      </c>
      <c r="S60">
        <v>8.9</v>
      </c>
      <c r="T60" t="s">
        <v>8</v>
      </c>
      <c r="U60">
        <v>0</v>
      </c>
      <c r="V60">
        <v>6.4</v>
      </c>
      <c r="W60">
        <v>8.6</v>
      </c>
      <c r="X60">
        <v>4.5999999999999996</v>
      </c>
      <c r="Y60">
        <v>2.8</v>
      </c>
      <c r="Z60">
        <v>27.8</v>
      </c>
      <c r="AA60">
        <v>2.8</v>
      </c>
      <c r="AB60">
        <v>4.5999999999999996</v>
      </c>
    </row>
    <row r="61" spans="1:28" x14ac:dyDescent="0.25">
      <c r="A61">
        <v>60</v>
      </c>
      <c r="B61" t="s">
        <v>177</v>
      </c>
      <c r="C61" t="s">
        <v>28</v>
      </c>
      <c r="D61" s="6">
        <f t="shared" si="4"/>
        <v>8.6</v>
      </c>
      <c r="E61">
        <v>8.8000000000000007</v>
      </c>
      <c r="F61">
        <v>114.5</v>
      </c>
      <c r="G61" s="3">
        <f t="shared" si="0"/>
        <v>4</v>
      </c>
      <c r="H61" s="3">
        <f t="shared" si="1"/>
        <v>1</v>
      </c>
      <c r="I61" s="3">
        <f t="shared" si="2"/>
        <v>0</v>
      </c>
      <c r="J61" s="3">
        <f t="shared" si="3"/>
        <v>13</v>
      </c>
      <c r="K61">
        <v>3.9</v>
      </c>
      <c r="L61">
        <v>8.6</v>
      </c>
      <c r="M61">
        <v>10.6</v>
      </c>
      <c r="N61">
        <v>26.6</v>
      </c>
      <c r="O61">
        <v>2.8</v>
      </c>
      <c r="P61">
        <v>9.1999999999999993</v>
      </c>
      <c r="Q61">
        <v>5.6</v>
      </c>
      <c r="R61">
        <v>9.8000000000000007</v>
      </c>
      <c r="S61" t="s">
        <v>8</v>
      </c>
      <c r="T61">
        <v>6.4</v>
      </c>
      <c r="U61" t="s">
        <v>8</v>
      </c>
      <c r="V61" t="s">
        <v>8</v>
      </c>
      <c r="W61" t="s">
        <v>8</v>
      </c>
      <c r="X61" t="s">
        <v>7</v>
      </c>
      <c r="Y61">
        <v>0</v>
      </c>
      <c r="Z61">
        <v>0</v>
      </c>
      <c r="AA61">
        <v>15.5</v>
      </c>
      <c r="AB61">
        <v>15.5</v>
      </c>
    </row>
    <row r="62" spans="1:28" x14ac:dyDescent="0.25">
      <c r="A62">
        <v>61</v>
      </c>
      <c r="B62" t="s">
        <v>153</v>
      </c>
      <c r="C62" t="s">
        <v>22</v>
      </c>
      <c r="D62" s="6">
        <f t="shared" si="4"/>
        <v>7.5</v>
      </c>
      <c r="E62">
        <v>6.7</v>
      </c>
      <c r="F62">
        <v>113.1</v>
      </c>
      <c r="G62" s="3">
        <f t="shared" si="0"/>
        <v>3</v>
      </c>
      <c r="H62" s="3">
        <f t="shared" si="1"/>
        <v>1</v>
      </c>
      <c r="I62" s="3">
        <f t="shared" si="2"/>
        <v>0</v>
      </c>
      <c r="J62" s="3">
        <f t="shared" si="3"/>
        <v>17</v>
      </c>
      <c r="K62">
        <v>0</v>
      </c>
      <c r="L62">
        <v>8.1</v>
      </c>
      <c r="M62">
        <v>1.5</v>
      </c>
      <c r="N62">
        <v>0</v>
      </c>
      <c r="O62">
        <v>2.1</v>
      </c>
      <c r="P62">
        <v>2.2999999999999998</v>
      </c>
      <c r="Q62">
        <v>7.5</v>
      </c>
      <c r="R62">
        <v>15.2</v>
      </c>
      <c r="S62">
        <v>9.6999999999999993</v>
      </c>
      <c r="T62">
        <v>3.4</v>
      </c>
      <c r="U62">
        <v>20.5</v>
      </c>
      <c r="V62">
        <v>7.7</v>
      </c>
      <c r="W62" t="s">
        <v>7</v>
      </c>
      <c r="X62">
        <v>2.2000000000000002</v>
      </c>
      <c r="Y62">
        <v>0</v>
      </c>
      <c r="Z62">
        <v>7.5</v>
      </c>
      <c r="AA62">
        <v>8.9</v>
      </c>
      <c r="AB62">
        <v>16.5</v>
      </c>
    </row>
    <row r="63" spans="1:28" x14ac:dyDescent="0.25">
      <c r="A63">
        <v>62</v>
      </c>
      <c r="B63" t="s">
        <v>197</v>
      </c>
      <c r="C63" t="s">
        <v>20</v>
      </c>
      <c r="D63" s="6">
        <f t="shared" si="4"/>
        <v>6.1</v>
      </c>
      <c r="E63">
        <v>7</v>
      </c>
      <c r="F63">
        <v>112.4</v>
      </c>
      <c r="G63" s="3">
        <f t="shared" si="0"/>
        <v>5</v>
      </c>
      <c r="H63" s="3">
        <f t="shared" si="1"/>
        <v>0</v>
      </c>
      <c r="I63" s="3">
        <f t="shared" si="2"/>
        <v>0</v>
      </c>
      <c r="J63" s="3">
        <f t="shared" si="3"/>
        <v>16</v>
      </c>
      <c r="K63">
        <v>17.899999999999999</v>
      </c>
      <c r="L63">
        <v>15.2</v>
      </c>
      <c r="M63">
        <v>17.2</v>
      </c>
      <c r="N63">
        <v>7.4</v>
      </c>
      <c r="O63">
        <v>8.9</v>
      </c>
      <c r="P63">
        <v>4</v>
      </c>
      <c r="Q63">
        <v>10.1</v>
      </c>
      <c r="R63">
        <v>6.9</v>
      </c>
      <c r="S63">
        <v>5.3</v>
      </c>
      <c r="T63" t="s">
        <v>7</v>
      </c>
      <c r="U63">
        <v>2.7</v>
      </c>
      <c r="V63">
        <v>10.6</v>
      </c>
      <c r="W63">
        <v>1.9</v>
      </c>
      <c r="X63">
        <v>0</v>
      </c>
      <c r="Y63" t="s">
        <v>8</v>
      </c>
      <c r="Z63">
        <v>0</v>
      </c>
      <c r="AA63">
        <v>0</v>
      </c>
      <c r="AB63">
        <v>4.3</v>
      </c>
    </row>
    <row r="64" spans="1:28" x14ac:dyDescent="0.25">
      <c r="A64">
        <v>63</v>
      </c>
      <c r="B64" t="s">
        <v>279</v>
      </c>
      <c r="C64" t="s">
        <v>90</v>
      </c>
      <c r="D64" s="6">
        <f t="shared" si="4"/>
        <v>5.8000000000000007</v>
      </c>
      <c r="E64">
        <v>7.7</v>
      </c>
      <c r="F64">
        <v>107.5</v>
      </c>
      <c r="G64" s="3">
        <f t="shared" si="0"/>
        <v>4</v>
      </c>
      <c r="H64" s="3">
        <f t="shared" si="1"/>
        <v>0</v>
      </c>
      <c r="I64" s="3">
        <f t="shared" si="2"/>
        <v>0</v>
      </c>
      <c r="J64" s="3">
        <f t="shared" si="3"/>
        <v>14</v>
      </c>
      <c r="K64">
        <v>5.7</v>
      </c>
      <c r="L64">
        <v>5.9</v>
      </c>
      <c r="M64" t="s">
        <v>8</v>
      </c>
      <c r="N64" t="s">
        <v>8</v>
      </c>
      <c r="O64">
        <v>3.3</v>
      </c>
      <c r="P64">
        <v>5.4</v>
      </c>
      <c r="Q64">
        <v>9.9</v>
      </c>
      <c r="R64">
        <v>0</v>
      </c>
      <c r="S64">
        <v>14.6</v>
      </c>
      <c r="T64">
        <v>11</v>
      </c>
      <c r="U64">
        <v>15.6</v>
      </c>
      <c r="V64">
        <v>6.4</v>
      </c>
      <c r="W64" t="s">
        <v>8</v>
      </c>
      <c r="X64">
        <v>19.7</v>
      </c>
      <c r="Y64">
        <v>2.4</v>
      </c>
      <c r="Z64">
        <v>3.3</v>
      </c>
      <c r="AA64">
        <v>4.3</v>
      </c>
      <c r="AB64" t="s">
        <v>8</v>
      </c>
    </row>
    <row r="65" spans="1:28" x14ac:dyDescent="0.25">
      <c r="A65">
        <v>64</v>
      </c>
      <c r="B65" t="s">
        <v>167</v>
      </c>
      <c r="C65" t="s">
        <v>57</v>
      </c>
      <c r="D65" s="6">
        <f t="shared" si="4"/>
        <v>7.6</v>
      </c>
      <c r="E65">
        <v>7.7</v>
      </c>
      <c r="F65">
        <v>107.2</v>
      </c>
      <c r="G65" s="3">
        <f t="shared" si="0"/>
        <v>5</v>
      </c>
      <c r="H65" s="3">
        <f t="shared" si="1"/>
        <v>0</v>
      </c>
      <c r="I65" s="3">
        <f t="shared" si="2"/>
        <v>0</v>
      </c>
      <c r="J65" s="3">
        <f t="shared" si="3"/>
        <v>14</v>
      </c>
      <c r="K65">
        <v>8</v>
      </c>
      <c r="L65">
        <v>1.9</v>
      </c>
      <c r="M65">
        <v>3</v>
      </c>
      <c r="N65">
        <v>6.5</v>
      </c>
      <c r="O65">
        <v>3.4</v>
      </c>
      <c r="P65" t="s">
        <v>8</v>
      </c>
      <c r="Q65">
        <v>11.4</v>
      </c>
      <c r="R65">
        <v>7.9</v>
      </c>
      <c r="S65">
        <v>10.5</v>
      </c>
      <c r="T65">
        <v>14.4</v>
      </c>
      <c r="U65" t="s">
        <v>7</v>
      </c>
      <c r="V65">
        <v>10.9</v>
      </c>
      <c r="W65" t="s">
        <v>8</v>
      </c>
      <c r="X65" t="s">
        <v>8</v>
      </c>
      <c r="Y65">
        <v>6.3</v>
      </c>
      <c r="Z65">
        <v>12.4</v>
      </c>
      <c r="AA65">
        <v>7.3</v>
      </c>
      <c r="AB65">
        <v>3.3</v>
      </c>
    </row>
    <row r="66" spans="1:28" x14ac:dyDescent="0.25">
      <c r="A66">
        <v>65</v>
      </c>
      <c r="B66" t="s">
        <v>192</v>
      </c>
      <c r="C66" t="s">
        <v>22</v>
      </c>
      <c r="D66" s="6">
        <f t="shared" si="4"/>
        <v>10</v>
      </c>
      <c r="E66">
        <v>9.6999999999999993</v>
      </c>
      <c r="F66">
        <v>106.7</v>
      </c>
      <c r="G66" s="3">
        <f t="shared" ref="G66:G129" si="5">COUNTIFS(K66:AB66,"&gt;=10",K66:AB66,"&lt;=99")</f>
        <v>6</v>
      </c>
      <c r="H66" s="3">
        <f t="shared" ref="H66:H129" si="6">COUNTIFS(K66:AB66,"&gt;=20",K66:AB66,"&lt;=99")</f>
        <v>1</v>
      </c>
      <c r="I66" s="3">
        <f t="shared" ref="I66:I129" si="7">COUNTIFS(K66:AB66,"&gt;=30",K66:AB66,"&lt;=99")</f>
        <v>0</v>
      </c>
      <c r="J66" s="3">
        <f t="shared" ref="J66:J129" si="8">COUNT(K66:AB66)</f>
        <v>11</v>
      </c>
      <c r="K66">
        <v>1.4</v>
      </c>
      <c r="L66">
        <v>4.3</v>
      </c>
      <c r="M66">
        <v>14.6</v>
      </c>
      <c r="N66">
        <v>10.7</v>
      </c>
      <c r="O66" t="s">
        <v>8</v>
      </c>
      <c r="P66">
        <v>10</v>
      </c>
      <c r="Q66">
        <v>18.3</v>
      </c>
      <c r="R66">
        <v>5.4</v>
      </c>
      <c r="S66" t="s">
        <v>8</v>
      </c>
      <c r="T66" t="s">
        <v>8</v>
      </c>
      <c r="U66">
        <v>0</v>
      </c>
      <c r="V66" t="s">
        <v>8</v>
      </c>
      <c r="W66" t="s">
        <v>7</v>
      </c>
      <c r="X66" t="s">
        <v>8</v>
      </c>
      <c r="Y66">
        <v>21.3</v>
      </c>
      <c r="Z66">
        <v>9.6999999999999993</v>
      </c>
      <c r="AA66" t="s">
        <v>8</v>
      </c>
      <c r="AB66">
        <v>11</v>
      </c>
    </row>
    <row r="67" spans="1:28" x14ac:dyDescent="0.25">
      <c r="A67">
        <v>66</v>
      </c>
      <c r="B67" t="s">
        <v>562</v>
      </c>
      <c r="C67" t="s">
        <v>38</v>
      </c>
      <c r="D67" s="6">
        <f t="shared" ref="D67:D130" si="9">MEDIAN(K67:AB67)</f>
        <v>5.6</v>
      </c>
      <c r="E67">
        <v>6.2</v>
      </c>
      <c r="F67">
        <v>105</v>
      </c>
      <c r="G67" s="3">
        <f t="shared" si="5"/>
        <v>3</v>
      </c>
      <c r="H67" s="3">
        <f t="shared" si="6"/>
        <v>0</v>
      </c>
      <c r="I67" s="3">
        <f t="shared" si="7"/>
        <v>0</v>
      </c>
      <c r="J67" s="3">
        <f t="shared" si="8"/>
        <v>17</v>
      </c>
      <c r="K67">
        <v>7.5</v>
      </c>
      <c r="L67">
        <v>2.4</v>
      </c>
      <c r="M67">
        <v>16.2</v>
      </c>
      <c r="N67">
        <v>0</v>
      </c>
      <c r="O67">
        <v>10.6</v>
      </c>
      <c r="P67">
        <v>6.6</v>
      </c>
      <c r="Q67">
        <v>4.5999999999999996</v>
      </c>
      <c r="R67">
        <v>4.0999999999999996</v>
      </c>
      <c r="S67">
        <v>1.8</v>
      </c>
      <c r="T67">
        <v>9.3000000000000007</v>
      </c>
      <c r="U67">
        <v>12.4</v>
      </c>
      <c r="V67">
        <v>5.5</v>
      </c>
      <c r="W67">
        <v>1.6</v>
      </c>
      <c r="X67" t="s">
        <v>8</v>
      </c>
      <c r="Y67">
        <v>2.8</v>
      </c>
      <c r="Z67">
        <v>5.6</v>
      </c>
      <c r="AA67">
        <v>6.4</v>
      </c>
      <c r="AB67">
        <v>7.6</v>
      </c>
    </row>
    <row r="68" spans="1:28" x14ac:dyDescent="0.25">
      <c r="A68">
        <v>67</v>
      </c>
      <c r="B68" t="s">
        <v>205</v>
      </c>
      <c r="C68" t="s">
        <v>60</v>
      </c>
      <c r="D68" s="6">
        <f t="shared" si="9"/>
        <v>6.25</v>
      </c>
      <c r="E68">
        <v>10.199999999999999</v>
      </c>
      <c r="F68">
        <v>101.6</v>
      </c>
      <c r="G68" s="3">
        <f t="shared" si="5"/>
        <v>3</v>
      </c>
      <c r="H68" s="3">
        <f t="shared" si="6"/>
        <v>3</v>
      </c>
      <c r="I68" s="3">
        <f t="shared" si="7"/>
        <v>0</v>
      </c>
      <c r="J68" s="3">
        <f t="shared" si="8"/>
        <v>10</v>
      </c>
      <c r="K68">
        <v>4.9000000000000004</v>
      </c>
      <c r="L68" t="s">
        <v>8</v>
      </c>
      <c r="M68" t="s">
        <v>8</v>
      </c>
      <c r="N68" t="s">
        <v>8</v>
      </c>
      <c r="O68" t="s">
        <v>8</v>
      </c>
      <c r="P68">
        <v>5.7</v>
      </c>
      <c r="Q68" t="s">
        <v>8</v>
      </c>
      <c r="R68">
        <v>8.6999999999999993</v>
      </c>
      <c r="S68">
        <v>27.3</v>
      </c>
      <c r="T68">
        <v>24.2</v>
      </c>
      <c r="U68" t="s">
        <v>8</v>
      </c>
      <c r="V68" t="s">
        <v>8</v>
      </c>
      <c r="W68">
        <v>0</v>
      </c>
      <c r="X68">
        <v>0</v>
      </c>
      <c r="Y68">
        <v>22.2</v>
      </c>
      <c r="Z68">
        <v>6.8</v>
      </c>
      <c r="AA68">
        <v>1.8</v>
      </c>
      <c r="AB68" t="s">
        <v>8</v>
      </c>
    </row>
    <row r="69" spans="1:28" x14ac:dyDescent="0.25">
      <c r="A69">
        <v>68</v>
      </c>
      <c r="B69" t="s">
        <v>186</v>
      </c>
      <c r="C69" t="s">
        <v>16</v>
      </c>
      <c r="D69" s="6">
        <f t="shared" si="9"/>
        <v>10.199999999999999</v>
      </c>
      <c r="E69">
        <v>11.3</v>
      </c>
      <c r="F69">
        <v>101.3</v>
      </c>
      <c r="G69" s="3">
        <f t="shared" si="5"/>
        <v>5</v>
      </c>
      <c r="H69" s="3">
        <f t="shared" si="6"/>
        <v>2</v>
      </c>
      <c r="I69" s="3">
        <f t="shared" si="7"/>
        <v>0</v>
      </c>
      <c r="J69" s="3">
        <f t="shared" si="8"/>
        <v>9</v>
      </c>
      <c r="K69" t="s">
        <v>8</v>
      </c>
      <c r="L69" t="s">
        <v>8</v>
      </c>
      <c r="M69" t="s">
        <v>8</v>
      </c>
      <c r="N69">
        <v>10.5</v>
      </c>
      <c r="O69">
        <v>11.6</v>
      </c>
      <c r="P69" t="s">
        <v>7</v>
      </c>
      <c r="Q69">
        <v>5.7</v>
      </c>
      <c r="R69">
        <v>6.3</v>
      </c>
      <c r="S69">
        <v>4.7</v>
      </c>
      <c r="T69">
        <v>4.3</v>
      </c>
      <c r="U69">
        <v>10.199999999999999</v>
      </c>
      <c r="V69">
        <v>20.399999999999999</v>
      </c>
      <c r="W69">
        <v>27.6</v>
      </c>
      <c r="X69" t="s">
        <v>8</v>
      </c>
      <c r="Y69" t="s">
        <v>8</v>
      </c>
      <c r="Z69" t="s">
        <v>8</v>
      </c>
      <c r="AA69" t="s">
        <v>8</v>
      </c>
      <c r="AB69" t="s">
        <v>8</v>
      </c>
    </row>
    <row r="70" spans="1:28" x14ac:dyDescent="0.25">
      <c r="A70">
        <v>69</v>
      </c>
      <c r="B70" t="s">
        <v>217</v>
      </c>
      <c r="C70" t="s">
        <v>57</v>
      </c>
      <c r="D70" s="6">
        <f t="shared" si="9"/>
        <v>10.6</v>
      </c>
      <c r="E70">
        <v>12.5</v>
      </c>
      <c r="F70">
        <v>100</v>
      </c>
      <c r="G70" s="3">
        <f t="shared" si="5"/>
        <v>4</v>
      </c>
      <c r="H70" s="3">
        <f t="shared" si="6"/>
        <v>1</v>
      </c>
      <c r="I70" s="3">
        <f t="shared" si="7"/>
        <v>0</v>
      </c>
      <c r="J70" s="3">
        <f t="shared" si="8"/>
        <v>8</v>
      </c>
      <c r="K70">
        <v>24.4</v>
      </c>
      <c r="L70">
        <v>6.9</v>
      </c>
      <c r="M70">
        <v>8.6</v>
      </c>
      <c r="N70">
        <v>5.6</v>
      </c>
      <c r="O70">
        <v>6.3</v>
      </c>
      <c r="P70">
        <v>19.3</v>
      </c>
      <c r="Q70">
        <v>16.3</v>
      </c>
      <c r="R70">
        <v>12.6</v>
      </c>
      <c r="S70" t="s">
        <v>8</v>
      </c>
      <c r="T70" t="s">
        <v>8</v>
      </c>
      <c r="U70" t="s">
        <v>7</v>
      </c>
      <c r="V70" t="s">
        <v>8</v>
      </c>
      <c r="W70" t="s">
        <v>8</v>
      </c>
      <c r="X70" t="s">
        <v>8</v>
      </c>
      <c r="Y70" t="s">
        <v>8</v>
      </c>
      <c r="Z70" t="s">
        <v>8</v>
      </c>
      <c r="AA70" t="s">
        <v>8</v>
      </c>
      <c r="AB70" t="s">
        <v>8</v>
      </c>
    </row>
    <row r="71" spans="1:28" x14ac:dyDescent="0.25">
      <c r="A71">
        <v>70</v>
      </c>
      <c r="B71" t="s">
        <v>222</v>
      </c>
      <c r="C71" t="s">
        <v>10</v>
      </c>
      <c r="D71" s="6">
        <f t="shared" si="9"/>
        <v>4.8</v>
      </c>
      <c r="E71">
        <v>5.7</v>
      </c>
      <c r="F71">
        <v>97.4</v>
      </c>
      <c r="G71" s="3">
        <f t="shared" si="5"/>
        <v>2</v>
      </c>
      <c r="H71" s="3">
        <f t="shared" si="6"/>
        <v>0</v>
      </c>
      <c r="I71" s="3">
        <f t="shared" si="7"/>
        <v>0</v>
      </c>
      <c r="J71" s="3">
        <f t="shared" si="8"/>
        <v>17</v>
      </c>
      <c r="K71">
        <v>3</v>
      </c>
      <c r="L71">
        <v>13.7</v>
      </c>
      <c r="M71">
        <v>9.5</v>
      </c>
      <c r="N71">
        <v>4.8</v>
      </c>
      <c r="O71">
        <v>7.5</v>
      </c>
      <c r="P71">
        <v>5.6</v>
      </c>
      <c r="Q71">
        <v>4</v>
      </c>
      <c r="R71">
        <v>4.2</v>
      </c>
      <c r="S71" t="s">
        <v>7</v>
      </c>
      <c r="T71">
        <v>6.6</v>
      </c>
      <c r="U71">
        <v>1.5</v>
      </c>
      <c r="V71">
        <v>14.6</v>
      </c>
      <c r="W71">
        <v>0.9</v>
      </c>
      <c r="X71">
        <v>4.5</v>
      </c>
      <c r="Y71">
        <v>2.2000000000000002</v>
      </c>
      <c r="Z71">
        <v>5.7</v>
      </c>
      <c r="AA71">
        <v>2.1</v>
      </c>
      <c r="AB71">
        <v>7</v>
      </c>
    </row>
    <row r="72" spans="1:28" x14ac:dyDescent="0.25">
      <c r="A72">
        <v>71</v>
      </c>
      <c r="B72" t="s">
        <v>228</v>
      </c>
      <c r="C72" t="s">
        <v>90</v>
      </c>
      <c r="D72" s="6">
        <f t="shared" si="9"/>
        <v>6</v>
      </c>
      <c r="E72">
        <v>5.7</v>
      </c>
      <c r="F72">
        <v>97.1</v>
      </c>
      <c r="G72" s="3">
        <f t="shared" si="5"/>
        <v>4</v>
      </c>
      <c r="H72" s="3">
        <f t="shared" si="6"/>
        <v>0</v>
      </c>
      <c r="I72" s="3">
        <f t="shared" si="7"/>
        <v>0</v>
      </c>
      <c r="J72" s="3">
        <f t="shared" si="8"/>
        <v>17</v>
      </c>
      <c r="K72">
        <v>0</v>
      </c>
      <c r="L72">
        <v>17.3</v>
      </c>
      <c r="M72">
        <v>7.9</v>
      </c>
      <c r="N72">
        <v>1.4</v>
      </c>
      <c r="O72">
        <v>10.4</v>
      </c>
      <c r="P72">
        <v>6</v>
      </c>
      <c r="Q72">
        <v>8.1999999999999993</v>
      </c>
      <c r="R72">
        <v>0</v>
      </c>
      <c r="S72">
        <v>1.2</v>
      </c>
      <c r="T72">
        <v>0</v>
      </c>
      <c r="U72">
        <v>10.7</v>
      </c>
      <c r="V72">
        <v>3.1</v>
      </c>
      <c r="W72" t="s">
        <v>8</v>
      </c>
      <c r="X72">
        <v>8.1999999999999993</v>
      </c>
      <c r="Y72">
        <v>0</v>
      </c>
      <c r="Z72">
        <v>10</v>
      </c>
      <c r="AA72">
        <v>3.8</v>
      </c>
      <c r="AB72">
        <v>8.9</v>
      </c>
    </row>
    <row r="73" spans="1:28" x14ac:dyDescent="0.25">
      <c r="A73">
        <v>72</v>
      </c>
      <c r="B73" t="s">
        <v>239</v>
      </c>
      <c r="C73" t="s">
        <v>34</v>
      </c>
      <c r="D73" s="6">
        <f t="shared" si="9"/>
        <v>5.2</v>
      </c>
      <c r="E73">
        <v>5.6</v>
      </c>
      <c r="F73">
        <v>95.7</v>
      </c>
      <c r="G73" s="3">
        <f t="shared" si="5"/>
        <v>1</v>
      </c>
      <c r="H73" s="3">
        <f t="shared" si="6"/>
        <v>0</v>
      </c>
      <c r="I73" s="3">
        <f t="shared" si="7"/>
        <v>0</v>
      </c>
      <c r="J73" s="3">
        <f t="shared" si="8"/>
        <v>17</v>
      </c>
      <c r="K73">
        <v>8.8000000000000007</v>
      </c>
      <c r="L73">
        <v>3</v>
      </c>
      <c r="M73">
        <v>1.8</v>
      </c>
      <c r="N73">
        <v>8.6</v>
      </c>
      <c r="O73" t="s">
        <v>7</v>
      </c>
      <c r="P73">
        <v>6.7</v>
      </c>
      <c r="Q73">
        <v>1.5</v>
      </c>
      <c r="R73">
        <v>5.2</v>
      </c>
      <c r="S73">
        <v>8.1</v>
      </c>
      <c r="T73">
        <v>4.0999999999999996</v>
      </c>
      <c r="U73">
        <v>6.8</v>
      </c>
      <c r="V73">
        <v>5.7</v>
      </c>
      <c r="W73">
        <v>4.5</v>
      </c>
      <c r="X73">
        <v>1.8</v>
      </c>
      <c r="Y73">
        <v>1.5</v>
      </c>
      <c r="Z73">
        <v>8.1999999999999993</v>
      </c>
      <c r="AA73">
        <v>16.399999999999999</v>
      </c>
      <c r="AB73">
        <v>3</v>
      </c>
    </row>
    <row r="74" spans="1:28" x14ac:dyDescent="0.25">
      <c r="A74">
        <v>73</v>
      </c>
      <c r="B74" t="s">
        <v>154</v>
      </c>
      <c r="C74" t="s">
        <v>24</v>
      </c>
      <c r="D74" s="6">
        <f t="shared" si="9"/>
        <v>4.8</v>
      </c>
      <c r="E74">
        <v>5.6</v>
      </c>
      <c r="F74">
        <v>95.4</v>
      </c>
      <c r="G74" s="3">
        <f t="shared" si="5"/>
        <v>2</v>
      </c>
      <c r="H74" s="3">
        <f t="shared" si="6"/>
        <v>0</v>
      </c>
      <c r="I74" s="3">
        <f t="shared" si="7"/>
        <v>0</v>
      </c>
      <c r="J74" s="3">
        <f t="shared" si="8"/>
        <v>17</v>
      </c>
      <c r="K74">
        <v>1.5</v>
      </c>
      <c r="L74">
        <v>4.8</v>
      </c>
      <c r="M74">
        <v>7.3</v>
      </c>
      <c r="N74">
        <v>4.8</v>
      </c>
      <c r="O74">
        <v>2</v>
      </c>
      <c r="P74">
        <v>5.5</v>
      </c>
      <c r="Q74">
        <v>8.3000000000000007</v>
      </c>
      <c r="R74">
        <v>7.1</v>
      </c>
      <c r="S74">
        <v>0</v>
      </c>
      <c r="T74">
        <v>3.1</v>
      </c>
      <c r="U74" t="s">
        <v>7</v>
      </c>
      <c r="V74">
        <v>6.7</v>
      </c>
      <c r="W74">
        <v>19</v>
      </c>
      <c r="X74">
        <v>4.2</v>
      </c>
      <c r="Y74">
        <v>2.2999999999999998</v>
      </c>
      <c r="Z74">
        <v>6</v>
      </c>
      <c r="AA74">
        <v>12.8</v>
      </c>
      <c r="AB74">
        <v>0</v>
      </c>
    </row>
    <row r="75" spans="1:28" x14ac:dyDescent="0.25">
      <c r="A75">
        <v>74</v>
      </c>
      <c r="B75" t="s">
        <v>152</v>
      </c>
      <c r="C75" t="s">
        <v>45</v>
      </c>
      <c r="D75" s="6">
        <f t="shared" si="9"/>
        <v>4.0999999999999996</v>
      </c>
      <c r="E75">
        <v>5.5</v>
      </c>
      <c r="F75">
        <v>94</v>
      </c>
      <c r="G75" s="3">
        <f t="shared" si="5"/>
        <v>5</v>
      </c>
      <c r="H75" s="3">
        <f t="shared" si="6"/>
        <v>0</v>
      </c>
      <c r="I75" s="3">
        <f t="shared" si="7"/>
        <v>0</v>
      </c>
      <c r="J75" s="3">
        <f t="shared" si="8"/>
        <v>17</v>
      </c>
      <c r="K75">
        <v>2.9</v>
      </c>
      <c r="L75">
        <v>1.7</v>
      </c>
      <c r="M75">
        <v>3</v>
      </c>
      <c r="N75">
        <v>2.8</v>
      </c>
      <c r="O75" t="s">
        <v>7</v>
      </c>
      <c r="P75">
        <v>0</v>
      </c>
      <c r="Q75">
        <v>3</v>
      </c>
      <c r="R75">
        <v>10</v>
      </c>
      <c r="S75">
        <v>3.6</v>
      </c>
      <c r="T75">
        <v>13.4</v>
      </c>
      <c r="U75">
        <v>4.0999999999999996</v>
      </c>
      <c r="V75">
        <v>1.7</v>
      </c>
      <c r="W75">
        <v>10.199999999999999</v>
      </c>
      <c r="X75">
        <v>12.1</v>
      </c>
      <c r="Y75">
        <v>10.3</v>
      </c>
      <c r="Z75">
        <v>5</v>
      </c>
      <c r="AA75">
        <v>5.9</v>
      </c>
      <c r="AB75">
        <v>4.3</v>
      </c>
    </row>
    <row r="76" spans="1:28" x14ac:dyDescent="0.25">
      <c r="A76">
        <v>75</v>
      </c>
      <c r="B76" t="s">
        <v>564</v>
      </c>
      <c r="C76" t="s">
        <v>90</v>
      </c>
      <c r="D76" s="6">
        <f t="shared" si="9"/>
        <v>10.65</v>
      </c>
      <c r="E76">
        <v>9</v>
      </c>
      <c r="F76">
        <v>89.8</v>
      </c>
      <c r="G76" s="3">
        <f t="shared" si="5"/>
        <v>6</v>
      </c>
      <c r="H76" s="3">
        <f t="shared" si="6"/>
        <v>0</v>
      </c>
      <c r="I76" s="3">
        <f t="shared" si="7"/>
        <v>0</v>
      </c>
      <c r="J76" s="3">
        <f t="shared" si="8"/>
        <v>10</v>
      </c>
      <c r="K76">
        <v>11.1</v>
      </c>
      <c r="L76">
        <v>12.5</v>
      </c>
      <c r="M76">
        <v>11</v>
      </c>
      <c r="N76">
        <v>9.3000000000000007</v>
      </c>
      <c r="O76">
        <v>10.5</v>
      </c>
      <c r="P76">
        <v>9.5</v>
      </c>
      <c r="Q76">
        <v>13.2</v>
      </c>
      <c r="R76">
        <v>10.8</v>
      </c>
      <c r="S76">
        <v>0</v>
      </c>
      <c r="T76">
        <v>1.9</v>
      </c>
      <c r="U76" t="s">
        <v>8</v>
      </c>
      <c r="V76" t="s">
        <v>8</v>
      </c>
      <c r="W76" t="s">
        <v>8</v>
      </c>
      <c r="X76" t="s">
        <v>8</v>
      </c>
      <c r="Y76" t="s">
        <v>8</v>
      </c>
      <c r="Z76" t="s">
        <v>8</v>
      </c>
      <c r="AA76" t="s">
        <v>8</v>
      </c>
      <c r="AB76" t="s">
        <v>8</v>
      </c>
    </row>
    <row r="77" spans="1:28" x14ac:dyDescent="0.25">
      <c r="A77">
        <v>76</v>
      </c>
      <c r="B77" t="s">
        <v>241</v>
      </c>
      <c r="C77" t="s">
        <v>78</v>
      </c>
      <c r="D77" s="6">
        <f t="shared" si="9"/>
        <v>6</v>
      </c>
      <c r="E77">
        <v>6.4</v>
      </c>
      <c r="F77">
        <v>89.3</v>
      </c>
      <c r="G77" s="3">
        <f t="shared" si="5"/>
        <v>2</v>
      </c>
      <c r="H77" s="3">
        <f t="shared" si="6"/>
        <v>0</v>
      </c>
      <c r="I77" s="3">
        <f t="shared" si="7"/>
        <v>0</v>
      </c>
      <c r="J77" s="3">
        <f t="shared" si="8"/>
        <v>14</v>
      </c>
      <c r="K77">
        <v>11.7</v>
      </c>
      <c r="L77">
        <v>13.4</v>
      </c>
      <c r="M77">
        <v>6.4</v>
      </c>
      <c r="N77">
        <v>5.6</v>
      </c>
      <c r="O77">
        <v>6</v>
      </c>
      <c r="P77">
        <v>7.6</v>
      </c>
      <c r="Q77" t="s">
        <v>8</v>
      </c>
      <c r="R77" t="s">
        <v>8</v>
      </c>
      <c r="S77" t="s">
        <v>8</v>
      </c>
      <c r="T77">
        <v>2.5</v>
      </c>
      <c r="U77">
        <v>9.4</v>
      </c>
      <c r="V77">
        <v>6</v>
      </c>
      <c r="W77">
        <v>0</v>
      </c>
      <c r="X77">
        <v>0.8</v>
      </c>
      <c r="Y77">
        <v>6</v>
      </c>
      <c r="Z77">
        <v>4.0999999999999996</v>
      </c>
      <c r="AA77">
        <v>9.8000000000000007</v>
      </c>
      <c r="AB77" t="s">
        <v>8</v>
      </c>
    </row>
    <row r="78" spans="1:28" x14ac:dyDescent="0.25">
      <c r="A78">
        <v>77</v>
      </c>
      <c r="B78" t="s">
        <v>215</v>
      </c>
      <c r="C78" t="s">
        <v>32</v>
      </c>
      <c r="D78" s="6">
        <f t="shared" si="9"/>
        <v>5.65</v>
      </c>
      <c r="E78">
        <v>5.6</v>
      </c>
      <c r="F78">
        <v>89</v>
      </c>
      <c r="G78" s="3">
        <f t="shared" si="5"/>
        <v>2</v>
      </c>
      <c r="H78" s="3">
        <f t="shared" si="6"/>
        <v>0</v>
      </c>
      <c r="I78" s="3">
        <f t="shared" si="7"/>
        <v>0</v>
      </c>
      <c r="J78" s="3">
        <f t="shared" si="8"/>
        <v>16</v>
      </c>
      <c r="K78">
        <v>6.5</v>
      </c>
      <c r="L78">
        <v>7.2</v>
      </c>
      <c r="M78">
        <v>7.1</v>
      </c>
      <c r="N78">
        <v>1.5</v>
      </c>
      <c r="O78">
        <v>7.6</v>
      </c>
      <c r="P78">
        <v>0</v>
      </c>
      <c r="Q78" t="s">
        <v>7</v>
      </c>
      <c r="R78">
        <v>6.2</v>
      </c>
      <c r="S78">
        <v>3.5</v>
      </c>
      <c r="T78" t="s">
        <v>8</v>
      </c>
      <c r="U78">
        <v>16.3</v>
      </c>
      <c r="V78">
        <v>7.3</v>
      </c>
      <c r="W78">
        <v>0</v>
      </c>
      <c r="X78">
        <v>2.8</v>
      </c>
      <c r="Y78">
        <v>4.0999999999999996</v>
      </c>
      <c r="Z78">
        <v>13.8</v>
      </c>
      <c r="AA78">
        <v>5.0999999999999996</v>
      </c>
      <c r="AB78">
        <v>0</v>
      </c>
    </row>
    <row r="79" spans="1:28" x14ac:dyDescent="0.25">
      <c r="A79">
        <v>78</v>
      </c>
      <c r="B79" t="s">
        <v>563</v>
      </c>
      <c r="C79" t="s">
        <v>60</v>
      </c>
      <c r="D79" s="6">
        <f t="shared" si="9"/>
        <v>3.5</v>
      </c>
      <c r="E79">
        <v>5.2</v>
      </c>
      <c r="F79">
        <v>87.8</v>
      </c>
      <c r="G79" s="3">
        <f t="shared" si="5"/>
        <v>4</v>
      </c>
      <c r="H79" s="3">
        <f t="shared" si="6"/>
        <v>0</v>
      </c>
      <c r="I79" s="3">
        <f t="shared" si="7"/>
        <v>0</v>
      </c>
      <c r="J79" s="3">
        <f t="shared" si="8"/>
        <v>17</v>
      </c>
      <c r="K79">
        <v>2</v>
      </c>
      <c r="L79">
        <v>1.3</v>
      </c>
      <c r="M79">
        <v>15.2</v>
      </c>
      <c r="N79">
        <v>11</v>
      </c>
      <c r="O79">
        <v>3.5</v>
      </c>
      <c r="P79">
        <v>5.4</v>
      </c>
      <c r="Q79" t="s">
        <v>8</v>
      </c>
      <c r="R79">
        <v>4</v>
      </c>
      <c r="S79">
        <v>3.9</v>
      </c>
      <c r="T79">
        <v>15</v>
      </c>
      <c r="U79">
        <v>6.1</v>
      </c>
      <c r="V79">
        <v>2.2999999999999998</v>
      </c>
      <c r="W79">
        <v>0</v>
      </c>
      <c r="X79">
        <v>13.8</v>
      </c>
      <c r="Y79">
        <v>1.9</v>
      </c>
      <c r="Z79">
        <v>2.4</v>
      </c>
      <c r="AA79">
        <v>0</v>
      </c>
      <c r="AB79">
        <v>0</v>
      </c>
    </row>
    <row r="80" spans="1:28" x14ac:dyDescent="0.25">
      <c r="A80">
        <v>79</v>
      </c>
      <c r="B80" t="s">
        <v>173</v>
      </c>
      <c r="C80" t="s">
        <v>76</v>
      </c>
      <c r="D80" s="6">
        <f t="shared" si="9"/>
        <v>13.2</v>
      </c>
      <c r="E80">
        <v>9.6999999999999993</v>
      </c>
      <c r="F80">
        <v>87.4</v>
      </c>
      <c r="G80" s="3">
        <f t="shared" si="5"/>
        <v>5</v>
      </c>
      <c r="H80" s="3">
        <f t="shared" si="6"/>
        <v>1</v>
      </c>
      <c r="I80" s="3">
        <f t="shared" si="7"/>
        <v>0</v>
      </c>
      <c r="J80" s="3">
        <f t="shared" si="8"/>
        <v>9</v>
      </c>
      <c r="K80" t="s">
        <v>8</v>
      </c>
      <c r="L80" t="s">
        <v>8</v>
      </c>
      <c r="M80" t="s">
        <v>8</v>
      </c>
      <c r="N80" t="s">
        <v>8</v>
      </c>
      <c r="O80" t="s">
        <v>8</v>
      </c>
      <c r="P80" t="s">
        <v>8</v>
      </c>
      <c r="Q80" t="s">
        <v>8</v>
      </c>
      <c r="R80" t="s">
        <v>8</v>
      </c>
      <c r="S80">
        <v>2.5</v>
      </c>
      <c r="T80" t="s">
        <v>8</v>
      </c>
      <c r="U80">
        <v>4.4000000000000004</v>
      </c>
      <c r="V80">
        <v>3.3</v>
      </c>
      <c r="W80">
        <v>15.5</v>
      </c>
      <c r="X80">
        <v>13.6</v>
      </c>
      <c r="Y80">
        <v>14.7</v>
      </c>
      <c r="Z80">
        <v>20.2</v>
      </c>
      <c r="AA80">
        <v>13.2</v>
      </c>
      <c r="AB80">
        <v>0</v>
      </c>
    </row>
    <row r="81" spans="1:28" x14ac:dyDescent="0.25">
      <c r="A81">
        <v>80</v>
      </c>
      <c r="B81" t="s">
        <v>162</v>
      </c>
      <c r="C81" t="s">
        <v>18</v>
      </c>
      <c r="D81" s="6">
        <f t="shared" si="9"/>
        <v>5.5</v>
      </c>
      <c r="E81">
        <v>6.5</v>
      </c>
      <c r="F81">
        <v>85</v>
      </c>
      <c r="G81" s="3">
        <f t="shared" si="5"/>
        <v>3</v>
      </c>
      <c r="H81" s="3">
        <f t="shared" si="6"/>
        <v>0</v>
      </c>
      <c r="I81" s="3">
        <f t="shared" si="7"/>
        <v>0</v>
      </c>
      <c r="J81" s="3">
        <f t="shared" si="8"/>
        <v>13</v>
      </c>
      <c r="K81">
        <v>9.8000000000000007</v>
      </c>
      <c r="L81">
        <v>11.5</v>
      </c>
      <c r="M81" t="s">
        <v>8</v>
      </c>
      <c r="N81">
        <v>16.100000000000001</v>
      </c>
      <c r="O81">
        <v>1.9</v>
      </c>
      <c r="P81">
        <v>5.5</v>
      </c>
      <c r="Q81" t="s">
        <v>8</v>
      </c>
      <c r="R81">
        <v>10.3</v>
      </c>
      <c r="S81">
        <v>3.3</v>
      </c>
      <c r="T81">
        <v>1.9</v>
      </c>
      <c r="U81">
        <v>1.7</v>
      </c>
      <c r="V81">
        <v>8.1</v>
      </c>
      <c r="W81">
        <v>3.8</v>
      </c>
      <c r="X81">
        <v>6.8</v>
      </c>
      <c r="Y81">
        <v>4.3</v>
      </c>
      <c r="Z81" t="s">
        <v>8</v>
      </c>
      <c r="AA81" t="s">
        <v>8</v>
      </c>
      <c r="AB81" t="s">
        <v>8</v>
      </c>
    </row>
    <row r="82" spans="1:28" x14ac:dyDescent="0.25">
      <c r="A82">
        <v>81</v>
      </c>
      <c r="B82" t="s">
        <v>247</v>
      </c>
      <c r="C82" t="s">
        <v>64</v>
      </c>
      <c r="D82" s="6">
        <f t="shared" si="9"/>
        <v>5</v>
      </c>
      <c r="E82">
        <v>5.7</v>
      </c>
      <c r="F82">
        <v>84.8</v>
      </c>
      <c r="G82" s="3">
        <f t="shared" si="5"/>
        <v>3</v>
      </c>
      <c r="H82" s="3">
        <f t="shared" si="6"/>
        <v>0</v>
      </c>
      <c r="I82" s="3">
        <f t="shared" si="7"/>
        <v>0</v>
      </c>
      <c r="J82" s="3">
        <f t="shared" si="8"/>
        <v>15</v>
      </c>
      <c r="K82">
        <v>3.7</v>
      </c>
      <c r="L82">
        <v>5.6</v>
      </c>
      <c r="M82">
        <v>5.0999999999999996</v>
      </c>
      <c r="N82" t="s">
        <v>8</v>
      </c>
      <c r="O82">
        <v>9.8000000000000007</v>
      </c>
      <c r="P82">
        <v>4.0999999999999996</v>
      </c>
      <c r="Q82" t="s">
        <v>7</v>
      </c>
      <c r="R82">
        <v>10.199999999999999</v>
      </c>
      <c r="S82">
        <v>1.5</v>
      </c>
      <c r="T82">
        <v>5</v>
      </c>
      <c r="U82">
        <v>1.6</v>
      </c>
      <c r="V82">
        <v>10</v>
      </c>
      <c r="W82">
        <v>12.9</v>
      </c>
      <c r="X82">
        <v>4.2</v>
      </c>
      <c r="Y82">
        <v>7.2</v>
      </c>
      <c r="Z82">
        <v>1.9</v>
      </c>
      <c r="AA82">
        <v>2</v>
      </c>
      <c r="AB82" t="s">
        <v>8</v>
      </c>
    </row>
    <row r="83" spans="1:28" x14ac:dyDescent="0.25">
      <c r="A83">
        <v>82</v>
      </c>
      <c r="B83" t="s">
        <v>134</v>
      </c>
      <c r="C83" t="s">
        <v>10</v>
      </c>
      <c r="D83" s="6">
        <f t="shared" si="9"/>
        <v>7.8999999999999995</v>
      </c>
      <c r="E83">
        <v>6.7</v>
      </c>
      <c r="F83">
        <v>80.3</v>
      </c>
      <c r="G83" s="3">
        <f t="shared" si="5"/>
        <v>3</v>
      </c>
      <c r="H83" s="3">
        <f t="shared" si="6"/>
        <v>0</v>
      </c>
      <c r="I83" s="3">
        <f t="shared" si="7"/>
        <v>0</v>
      </c>
      <c r="J83" s="3">
        <f t="shared" si="8"/>
        <v>12</v>
      </c>
      <c r="K83" t="s">
        <v>8</v>
      </c>
      <c r="L83" t="s">
        <v>8</v>
      </c>
      <c r="M83" t="s">
        <v>8</v>
      </c>
      <c r="N83" t="s">
        <v>8</v>
      </c>
      <c r="O83">
        <v>2.2000000000000002</v>
      </c>
      <c r="P83">
        <v>13.3</v>
      </c>
      <c r="Q83">
        <v>0</v>
      </c>
      <c r="R83">
        <v>3.6</v>
      </c>
      <c r="S83" t="s">
        <v>7</v>
      </c>
      <c r="T83">
        <v>3.8</v>
      </c>
      <c r="U83">
        <v>12.4</v>
      </c>
      <c r="V83">
        <v>7.1</v>
      </c>
      <c r="W83">
        <v>10</v>
      </c>
      <c r="X83">
        <v>0.4</v>
      </c>
      <c r="Y83">
        <v>8.6999999999999993</v>
      </c>
      <c r="Z83">
        <v>9.3000000000000007</v>
      </c>
      <c r="AA83">
        <v>9.5</v>
      </c>
      <c r="AB83" t="s">
        <v>8</v>
      </c>
    </row>
    <row r="84" spans="1:28" x14ac:dyDescent="0.25">
      <c r="A84">
        <v>83</v>
      </c>
      <c r="B84" t="s">
        <v>146</v>
      </c>
      <c r="C84" t="s">
        <v>14</v>
      </c>
      <c r="D84" s="6">
        <f t="shared" si="9"/>
        <v>4.4000000000000004</v>
      </c>
      <c r="E84">
        <v>5.6</v>
      </c>
      <c r="F84">
        <v>78.900000000000006</v>
      </c>
      <c r="G84" s="3">
        <f t="shared" si="5"/>
        <v>2</v>
      </c>
      <c r="H84" s="3">
        <f t="shared" si="6"/>
        <v>0</v>
      </c>
      <c r="I84" s="3">
        <f t="shared" si="7"/>
        <v>0</v>
      </c>
      <c r="J84" s="3">
        <f t="shared" si="8"/>
        <v>14</v>
      </c>
      <c r="K84">
        <v>15.3</v>
      </c>
      <c r="L84" t="s">
        <v>8</v>
      </c>
      <c r="M84">
        <v>0</v>
      </c>
      <c r="N84">
        <v>9.1</v>
      </c>
      <c r="O84">
        <v>0</v>
      </c>
      <c r="P84">
        <v>6.8</v>
      </c>
      <c r="Q84">
        <v>7.4</v>
      </c>
      <c r="R84">
        <v>5.4</v>
      </c>
      <c r="S84">
        <v>13.2</v>
      </c>
      <c r="T84">
        <v>3.4</v>
      </c>
      <c r="U84">
        <v>3.4</v>
      </c>
      <c r="V84">
        <v>2.6</v>
      </c>
      <c r="W84" t="s">
        <v>8</v>
      </c>
      <c r="X84">
        <v>6.4</v>
      </c>
      <c r="Y84">
        <v>3.4</v>
      </c>
      <c r="Z84">
        <v>2.5</v>
      </c>
      <c r="AA84" t="s">
        <v>8</v>
      </c>
      <c r="AB84" t="s">
        <v>8</v>
      </c>
    </row>
    <row r="85" spans="1:28" x14ac:dyDescent="0.25">
      <c r="A85">
        <v>84</v>
      </c>
      <c r="B85" t="s">
        <v>267</v>
      </c>
      <c r="C85" t="s">
        <v>28</v>
      </c>
      <c r="D85" s="6">
        <f t="shared" si="9"/>
        <v>10.7</v>
      </c>
      <c r="E85">
        <v>8.6999999999999993</v>
      </c>
      <c r="F85">
        <v>78.099999999999994</v>
      </c>
      <c r="G85" s="3">
        <f t="shared" si="5"/>
        <v>5</v>
      </c>
      <c r="H85" s="3">
        <f t="shared" si="6"/>
        <v>0</v>
      </c>
      <c r="I85" s="3">
        <f t="shared" si="7"/>
        <v>0</v>
      </c>
      <c r="J85" s="3">
        <f t="shared" si="8"/>
        <v>9</v>
      </c>
      <c r="K85">
        <v>16.5</v>
      </c>
      <c r="L85">
        <v>0</v>
      </c>
      <c r="M85" t="s">
        <v>8</v>
      </c>
      <c r="N85" t="s">
        <v>8</v>
      </c>
      <c r="O85">
        <v>11.3</v>
      </c>
      <c r="P85" t="s">
        <v>8</v>
      </c>
      <c r="Q85" t="s">
        <v>8</v>
      </c>
      <c r="R85" t="s">
        <v>8</v>
      </c>
      <c r="S85" t="s">
        <v>8</v>
      </c>
      <c r="T85" t="s">
        <v>8</v>
      </c>
      <c r="U85">
        <v>6</v>
      </c>
      <c r="V85">
        <v>2</v>
      </c>
      <c r="W85">
        <v>12.8</v>
      </c>
      <c r="X85">
        <v>7.9</v>
      </c>
      <c r="Y85">
        <v>10.9</v>
      </c>
      <c r="Z85" t="s">
        <v>8</v>
      </c>
      <c r="AA85" t="s">
        <v>8</v>
      </c>
      <c r="AB85">
        <v>10.7</v>
      </c>
    </row>
    <row r="86" spans="1:28" x14ac:dyDescent="0.25">
      <c r="A86">
        <v>85</v>
      </c>
      <c r="B86" t="s">
        <v>149</v>
      </c>
      <c r="C86" t="s">
        <v>12</v>
      </c>
      <c r="D86" s="6">
        <f t="shared" si="9"/>
        <v>4.6500000000000004</v>
      </c>
      <c r="E86">
        <v>4.8</v>
      </c>
      <c r="F86">
        <v>76.5</v>
      </c>
      <c r="G86" s="3">
        <f t="shared" si="5"/>
        <v>0</v>
      </c>
      <c r="H86" s="3">
        <f t="shared" si="6"/>
        <v>0</v>
      </c>
      <c r="I86" s="3">
        <f t="shared" si="7"/>
        <v>0</v>
      </c>
      <c r="J86" s="3">
        <f t="shared" si="8"/>
        <v>16</v>
      </c>
      <c r="K86">
        <v>6.5</v>
      </c>
      <c r="L86">
        <v>4.8</v>
      </c>
      <c r="M86">
        <v>1.6</v>
      </c>
      <c r="N86" t="s">
        <v>8</v>
      </c>
      <c r="O86">
        <v>1.8</v>
      </c>
      <c r="P86">
        <v>3.5</v>
      </c>
      <c r="Q86">
        <v>5.6</v>
      </c>
      <c r="R86">
        <v>7.2</v>
      </c>
      <c r="S86">
        <v>5.8</v>
      </c>
      <c r="T86">
        <v>4.5</v>
      </c>
      <c r="U86">
        <v>8</v>
      </c>
      <c r="V86">
        <v>4.0999999999999996</v>
      </c>
      <c r="W86" t="s">
        <v>7</v>
      </c>
      <c r="X86">
        <v>4.4000000000000004</v>
      </c>
      <c r="Y86">
        <v>6.9</v>
      </c>
      <c r="Z86">
        <v>2.4</v>
      </c>
      <c r="AA86">
        <v>9.4</v>
      </c>
      <c r="AB86">
        <v>0</v>
      </c>
    </row>
    <row r="87" spans="1:28" x14ac:dyDescent="0.25">
      <c r="A87">
        <v>86</v>
      </c>
      <c r="B87" t="s">
        <v>319</v>
      </c>
      <c r="C87" t="s">
        <v>78</v>
      </c>
      <c r="D87" s="6">
        <f t="shared" si="9"/>
        <v>3.2</v>
      </c>
      <c r="E87">
        <v>5.6</v>
      </c>
      <c r="F87">
        <v>73.400000000000006</v>
      </c>
      <c r="G87" s="3">
        <f t="shared" si="5"/>
        <v>3</v>
      </c>
      <c r="H87" s="3">
        <f t="shared" si="6"/>
        <v>1</v>
      </c>
      <c r="I87" s="3">
        <f t="shared" si="7"/>
        <v>0</v>
      </c>
      <c r="J87" s="3">
        <f t="shared" si="8"/>
        <v>13</v>
      </c>
      <c r="K87">
        <v>5.0999999999999996</v>
      </c>
      <c r="L87">
        <v>20.6</v>
      </c>
      <c r="M87">
        <v>3.2</v>
      </c>
      <c r="N87">
        <v>7.4</v>
      </c>
      <c r="O87">
        <v>1.9</v>
      </c>
      <c r="P87">
        <v>0</v>
      </c>
      <c r="Q87">
        <v>0</v>
      </c>
      <c r="R87" t="s">
        <v>8</v>
      </c>
      <c r="S87" t="s">
        <v>8</v>
      </c>
      <c r="T87" t="s">
        <v>8</v>
      </c>
      <c r="U87" t="s">
        <v>8</v>
      </c>
      <c r="V87" t="s">
        <v>8</v>
      </c>
      <c r="W87">
        <v>0</v>
      </c>
      <c r="X87">
        <v>0</v>
      </c>
      <c r="Y87">
        <v>0</v>
      </c>
      <c r="Z87">
        <v>15.7</v>
      </c>
      <c r="AA87">
        <v>6.7</v>
      </c>
      <c r="AB87">
        <v>12.8</v>
      </c>
    </row>
    <row r="88" spans="1:28" x14ac:dyDescent="0.25">
      <c r="A88">
        <v>87</v>
      </c>
      <c r="B88" t="s">
        <v>565</v>
      </c>
      <c r="C88" t="s">
        <v>90</v>
      </c>
      <c r="D88" s="6">
        <f t="shared" si="9"/>
        <v>4</v>
      </c>
      <c r="E88">
        <v>5.6</v>
      </c>
      <c r="F88">
        <v>72.400000000000006</v>
      </c>
      <c r="G88" s="3">
        <f t="shared" si="5"/>
        <v>3</v>
      </c>
      <c r="H88" s="3">
        <f t="shared" si="6"/>
        <v>0</v>
      </c>
      <c r="I88" s="3">
        <f t="shared" si="7"/>
        <v>0</v>
      </c>
      <c r="J88" s="3">
        <f t="shared" si="8"/>
        <v>13</v>
      </c>
      <c r="K88" t="s">
        <v>8</v>
      </c>
      <c r="L88">
        <v>11.7</v>
      </c>
      <c r="M88">
        <v>3.9</v>
      </c>
      <c r="N88">
        <v>5.3</v>
      </c>
      <c r="O88">
        <v>4</v>
      </c>
      <c r="P88">
        <v>1.7</v>
      </c>
      <c r="Q88">
        <v>1.8</v>
      </c>
      <c r="R88">
        <v>2.4</v>
      </c>
      <c r="S88" t="s">
        <v>8</v>
      </c>
      <c r="T88" t="s">
        <v>8</v>
      </c>
      <c r="U88" t="s">
        <v>8</v>
      </c>
      <c r="V88">
        <v>7.2</v>
      </c>
      <c r="W88">
        <v>10.4</v>
      </c>
      <c r="X88" t="s">
        <v>8</v>
      </c>
      <c r="Y88">
        <v>9.4</v>
      </c>
      <c r="Z88">
        <v>10.5</v>
      </c>
      <c r="AA88">
        <v>2.5</v>
      </c>
      <c r="AB88">
        <v>1.6</v>
      </c>
    </row>
    <row r="89" spans="1:28" x14ac:dyDescent="0.25">
      <c r="A89">
        <v>88</v>
      </c>
      <c r="B89" t="s">
        <v>175</v>
      </c>
      <c r="C89" t="s">
        <v>97</v>
      </c>
      <c r="D89" s="6">
        <f t="shared" si="9"/>
        <v>2.5</v>
      </c>
      <c r="E89">
        <v>4.5</v>
      </c>
      <c r="F89">
        <v>71.8</v>
      </c>
      <c r="G89" s="3">
        <f t="shared" si="5"/>
        <v>2</v>
      </c>
      <c r="H89" s="3">
        <f t="shared" si="6"/>
        <v>1</v>
      </c>
      <c r="I89" s="3">
        <f t="shared" si="7"/>
        <v>0</v>
      </c>
      <c r="J89" s="3">
        <f t="shared" si="8"/>
        <v>16</v>
      </c>
      <c r="K89" t="s">
        <v>8</v>
      </c>
      <c r="L89">
        <v>3.4</v>
      </c>
      <c r="M89">
        <v>0</v>
      </c>
      <c r="N89">
        <v>0</v>
      </c>
      <c r="O89">
        <v>1.6</v>
      </c>
      <c r="P89">
        <v>8.1</v>
      </c>
      <c r="Q89">
        <v>3.8</v>
      </c>
      <c r="R89">
        <v>0</v>
      </c>
      <c r="S89">
        <v>7.6</v>
      </c>
      <c r="T89">
        <v>0.9</v>
      </c>
      <c r="U89">
        <v>5</v>
      </c>
      <c r="V89">
        <v>0</v>
      </c>
      <c r="W89" t="s">
        <v>7</v>
      </c>
      <c r="X89">
        <v>0</v>
      </c>
      <c r="Y89">
        <v>20.7</v>
      </c>
      <c r="Z89">
        <v>1.1000000000000001</v>
      </c>
      <c r="AA89">
        <v>5.6</v>
      </c>
      <c r="AB89">
        <v>14</v>
      </c>
    </row>
    <row r="90" spans="1:28" x14ac:dyDescent="0.25">
      <c r="A90">
        <v>89</v>
      </c>
      <c r="B90" t="s">
        <v>170</v>
      </c>
      <c r="C90" t="s">
        <v>50</v>
      </c>
      <c r="D90" s="6">
        <f t="shared" si="9"/>
        <v>2.8</v>
      </c>
      <c r="E90">
        <v>4.4000000000000004</v>
      </c>
      <c r="F90">
        <v>70.7</v>
      </c>
      <c r="G90" s="3">
        <f t="shared" si="5"/>
        <v>2</v>
      </c>
      <c r="H90" s="3">
        <f t="shared" si="6"/>
        <v>1</v>
      </c>
      <c r="I90" s="3">
        <f t="shared" si="7"/>
        <v>0</v>
      </c>
      <c r="J90" s="3">
        <f t="shared" si="8"/>
        <v>16</v>
      </c>
      <c r="K90">
        <v>2.9</v>
      </c>
      <c r="L90">
        <v>20.3</v>
      </c>
      <c r="M90">
        <v>16.600000000000001</v>
      </c>
      <c r="N90">
        <v>6.7</v>
      </c>
      <c r="O90">
        <v>-0.6</v>
      </c>
      <c r="P90">
        <v>0</v>
      </c>
      <c r="Q90">
        <v>-1.1000000000000001</v>
      </c>
      <c r="R90">
        <v>1</v>
      </c>
      <c r="S90" t="s">
        <v>7</v>
      </c>
      <c r="T90">
        <v>-0.3</v>
      </c>
      <c r="U90">
        <v>3.2</v>
      </c>
      <c r="V90">
        <v>5.5</v>
      </c>
      <c r="W90">
        <v>2.2999999999999998</v>
      </c>
      <c r="X90">
        <v>3.1</v>
      </c>
      <c r="Y90">
        <v>1.1000000000000001</v>
      </c>
      <c r="Z90">
        <v>7.3</v>
      </c>
      <c r="AA90" t="s">
        <v>8</v>
      </c>
      <c r="AB90">
        <v>2.7</v>
      </c>
    </row>
    <row r="91" spans="1:28" x14ac:dyDescent="0.25">
      <c r="A91">
        <v>90</v>
      </c>
      <c r="B91" t="s">
        <v>231</v>
      </c>
      <c r="C91" t="s">
        <v>26</v>
      </c>
      <c r="D91" s="6">
        <f t="shared" si="9"/>
        <v>5.15</v>
      </c>
      <c r="E91">
        <v>5</v>
      </c>
      <c r="F91">
        <v>69.599999999999994</v>
      </c>
      <c r="G91" s="3">
        <f t="shared" si="5"/>
        <v>2</v>
      </c>
      <c r="H91" s="3">
        <f t="shared" si="6"/>
        <v>0</v>
      </c>
      <c r="I91" s="3">
        <f t="shared" si="7"/>
        <v>0</v>
      </c>
      <c r="J91" s="3">
        <f t="shared" si="8"/>
        <v>14</v>
      </c>
      <c r="K91" t="s">
        <v>8</v>
      </c>
      <c r="L91" t="s">
        <v>8</v>
      </c>
      <c r="M91" t="s">
        <v>8</v>
      </c>
      <c r="N91">
        <v>2.6</v>
      </c>
      <c r="O91">
        <v>9.1999999999999993</v>
      </c>
      <c r="P91">
        <v>0</v>
      </c>
      <c r="Q91">
        <v>6.8</v>
      </c>
      <c r="R91">
        <v>7.1</v>
      </c>
      <c r="S91">
        <v>10.1</v>
      </c>
      <c r="T91" t="s">
        <v>8</v>
      </c>
      <c r="U91">
        <v>5.3</v>
      </c>
      <c r="V91">
        <v>0</v>
      </c>
      <c r="W91">
        <v>0</v>
      </c>
      <c r="X91">
        <v>5</v>
      </c>
      <c r="Y91">
        <v>2.2000000000000002</v>
      </c>
      <c r="Z91">
        <v>7.2</v>
      </c>
      <c r="AA91">
        <v>10.7</v>
      </c>
      <c r="AB91">
        <v>3.4</v>
      </c>
    </row>
    <row r="92" spans="1:28" x14ac:dyDescent="0.25">
      <c r="A92">
        <v>91</v>
      </c>
      <c r="B92" t="s">
        <v>348</v>
      </c>
      <c r="C92" t="s">
        <v>60</v>
      </c>
      <c r="D92" s="6">
        <f t="shared" si="9"/>
        <v>4.0999999999999996</v>
      </c>
      <c r="E92">
        <v>4</v>
      </c>
      <c r="F92">
        <v>68.3</v>
      </c>
      <c r="G92" s="3">
        <f t="shared" si="5"/>
        <v>0</v>
      </c>
      <c r="H92" s="3">
        <f t="shared" si="6"/>
        <v>0</v>
      </c>
      <c r="I92" s="3">
        <f t="shared" si="7"/>
        <v>0</v>
      </c>
      <c r="J92" s="3">
        <f t="shared" si="8"/>
        <v>17</v>
      </c>
      <c r="K92">
        <v>0</v>
      </c>
      <c r="L92">
        <v>5.9</v>
      </c>
      <c r="M92">
        <v>6.1</v>
      </c>
      <c r="N92">
        <v>5.4</v>
      </c>
      <c r="O92">
        <v>0</v>
      </c>
      <c r="P92">
        <v>1.6</v>
      </c>
      <c r="Q92" t="s">
        <v>8</v>
      </c>
      <c r="R92">
        <v>0</v>
      </c>
      <c r="S92">
        <v>3.9</v>
      </c>
      <c r="T92">
        <v>4.0999999999999996</v>
      </c>
      <c r="U92">
        <v>9.6999999999999993</v>
      </c>
      <c r="V92">
        <v>7.2</v>
      </c>
      <c r="W92">
        <v>2.2000000000000002</v>
      </c>
      <c r="X92">
        <v>3.2</v>
      </c>
      <c r="Y92">
        <v>6.9</v>
      </c>
      <c r="Z92">
        <v>1.9</v>
      </c>
      <c r="AA92">
        <v>4.2</v>
      </c>
      <c r="AB92">
        <v>6</v>
      </c>
    </row>
    <row r="93" spans="1:28" x14ac:dyDescent="0.25">
      <c r="A93">
        <v>92</v>
      </c>
      <c r="B93" t="s">
        <v>275</v>
      </c>
      <c r="C93" t="s">
        <v>90</v>
      </c>
      <c r="D93" s="6">
        <f t="shared" si="9"/>
        <v>2.2000000000000002</v>
      </c>
      <c r="E93">
        <v>3.9</v>
      </c>
      <c r="F93">
        <v>67.099999999999994</v>
      </c>
      <c r="G93" s="3">
        <f t="shared" si="5"/>
        <v>1</v>
      </c>
      <c r="H93" s="3">
        <f t="shared" si="6"/>
        <v>0</v>
      </c>
      <c r="I93" s="3">
        <f t="shared" si="7"/>
        <v>0</v>
      </c>
      <c r="J93" s="3">
        <f t="shared" si="8"/>
        <v>17</v>
      </c>
      <c r="K93">
        <v>0</v>
      </c>
      <c r="L93">
        <v>-2</v>
      </c>
      <c r="M93">
        <v>1.5</v>
      </c>
      <c r="N93">
        <v>0</v>
      </c>
      <c r="O93">
        <v>9.1999999999999993</v>
      </c>
      <c r="P93">
        <v>4.9000000000000004</v>
      </c>
      <c r="Q93">
        <v>10.9</v>
      </c>
      <c r="R93">
        <v>2.2000000000000002</v>
      </c>
      <c r="S93">
        <v>9.5</v>
      </c>
      <c r="T93">
        <v>7.5</v>
      </c>
      <c r="U93">
        <v>6.2</v>
      </c>
      <c r="V93">
        <v>7.7</v>
      </c>
      <c r="W93" t="s">
        <v>8</v>
      </c>
      <c r="X93">
        <v>0</v>
      </c>
      <c r="Y93">
        <v>0</v>
      </c>
      <c r="Z93">
        <v>8.3000000000000007</v>
      </c>
      <c r="AA93">
        <v>0</v>
      </c>
      <c r="AB93">
        <v>1.2</v>
      </c>
    </row>
    <row r="94" spans="1:28" x14ac:dyDescent="0.25">
      <c r="A94">
        <v>93</v>
      </c>
      <c r="B94" t="s">
        <v>202</v>
      </c>
      <c r="C94" t="s">
        <v>28</v>
      </c>
      <c r="D94" s="6">
        <f t="shared" si="9"/>
        <v>0.6</v>
      </c>
      <c r="E94">
        <v>4</v>
      </c>
      <c r="F94">
        <v>64.5</v>
      </c>
      <c r="G94" s="3">
        <f t="shared" si="5"/>
        <v>4</v>
      </c>
      <c r="H94" s="3">
        <f t="shared" si="6"/>
        <v>0</v>
      </c>
      <c r="I94" s="3">
        <f t="shared" si="7"/>
        <v>0</v>
      </c>
      <c r="J94" s="3">
        <f t="shared" si="8"/>
        <v>16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8</v>
      </c>
      <c r="S94">
        <v>1.2</v>
      </c>
      <c r="T94">
        <v>0</v>
      </c>
      <c r="U94">
        <v>13.6</v>
      </c>
      <c r="V94">
        <v>11.7</v>
      </c>
      <c r="W94">
        <v>2.9</v>
      </c>
      <c r="X94" t="s">
        <v>7</v>
      </c>
      <c r="Y94">
        <v>4</v>
      </c>
      <c r="Z94">
        <v>12.5</v>
      </c>
      <c r="AA94">
        <v>15.2</v>
      </c>
      <c r="AB94">
        <v>3.4</v>
      </c>
    </row>
    <row r="95" spans="1:28" x14ac:dyDescent="0.25">
      <c r="A95">
        <v>94</v>
      </c>
      <c r="B95" t="s">
        <v>306</v>
      </c>
      <c r="C95" t="s">
        <v>66</v>
      </c>
      <c r="D95" s="6">
        <f t="shared" si="9"/>
        <v>3.5</v>
      </c>
      <c r="E95">
        <v>4.2</v>
      </c>
      <c r="F95">
        <v>62.6</v>
      </c>
      <c r="G95" s="3">
        <f t="shared" si="5"/>
        <v>2</v>
      </c>
      <c r="H95" s="3">
        <f t="shared" si="6"/>
        <v>0</v>
      </c>
      <c r="I95" s="3">
        <f t="shared" si="7"/>
        <v>0</v>
      </c>
      <c r="J95" s="3">
        <f t="shared" si="8"/>
        <v>15</v>
      </c>
      <c r="K95">
        <v>0</v>
      </c>
      <c r="L95" t="s">
        <v>8</v>
      </c>
      <c r="M95" t="s">
        <v>8</v>
      </c>
      <c r="N95">
        <v>2.7</v>
      </c>
      <c r="O95">
        <v>14</v>
      </c>
      <c r="P95">
        <v>0</v>
      </c>
      <c r="Q95" t="s">
        <v>8</v>
      </c>
      <c r="R95">
        <v>4.4000000000000004</v>
      </c>
      <c r="S95">
        <v>0</v>
      </c>
      <c r="T95">
        <v>13.4</v>
      </c>
      <c r="U95">
        <v>6.6</v>
      </c>
      <c r="V95">
        <v>3.5</v>
      </c>
      <c r="W95">
        <v>3.5</v>
      </c>
      <c r="X95">
        <v>0</v>
      </c>
      <c r="Y95">
        <v>0</v>
      </c>
      <c r="Z95">
        <v>7.7</v>
      </c>
      <c r="AA95">
        <v>1.4</v>
      </c>
      <c r="AB95">
        <v>5.4</v>
      </c>
    </row>
    <row r="96" spans="1:28" x14ac:dyDescent="0.25">
      <c r="A96">
        <v>95</v>
      </c>
      <c r="B96" t="s">
        <v>301</v>
      </c>
      <c r="C96" t="s">
        <v>90</v>
      </c>
      <c r="D96" s="6">
        <f t="shared" si="9"/>
        <v>3.1</v>
      </c>
      <c r="E96">
        <v>3.6</v>
      </c>
      <c r="F96">
        <v>62</v>
      </c>
      <c r="G96" s="3">
        <f t="shared" si="5"/>
        <v>1</v>
      </c>
      <c r="H96" s="3">
        <f t="shared" si="6"/>
        <v>0</v>
      </c>
      <c r="I96" s="3">
        <f t="shared" si="7"/>
        <v>0</v>
      </c>
      <c r="J96" s="3">
        <f t="shared" si="8"/>
        <v>17</v>
      </c>
      <c r="K96">
        <v>11.4</v>
      </c>
      <c r="L96">
        <v>3.2</v>
      </c>
      <c r="M96">
        <v>6.4</v>
      </c>
      <c r="N96">
        <v>1.8</v>
      </c>
      <c r="O96">
        <v>7.9</v>
      </c>
      <c r="P96" t="s">
        <v>8</v>
      </c>
      <c r="Q96">
        <v>1.7</v>
      </c>
      <c r="R96">
        <v>0</v>
      </c>
      <c r="S96">
        <v>2</v>
      </c>
      <c r="T96">
        <v>0</v>
      </c>
      <c r="U96">
        <v>5</v>
      </c>
      <c r="V96">
        <v>2.1</v>
      </c>
      <c r="W96">
        <v>4.9000000000000004</v>
      </c>
      <c r="X96">
        <v>3.1</v>
      </c>
      <c r="Y96">
        <v>4.9000000000000004</v>
      </c>
      <c r="Z96">
        <v>7.6</v>
      </c>
      <c r="AA96">
        <v>0</v>
      </c>
      <c r="AB96">
        <v>0</v>
      </c>
    </row>
    <row r="97" spans="1:28" x14ac:dyDescent="0.25">
      <c r="A97">
        <v>96</v>
      </c>
      <c r="B97" t="s">
        <v>224</v>
      </c>
      <c r="C97" t="s">
        <v>62</v>
      </c>
      <c r="D97" s="6">
        <f t="shared" si="9"/>
        <v>3.6</v>
      </c>
      <c r="E97">
        <v>5.5</v>
      </c>
      <c r="F97">
        <v>61</v>
      </c>
      <c r="G97" s="3">
        <f t="shared" si="5"/>
        <v>2</v>
      </c>
      <c r="H97" s="3">
        <f t="shared" si="6"/>
        <v>0</v>
      </c>
      <c r="I97" s="3">
        <f t="shared" si="7"/>
        <v>0</v>
      </c>
      <c r="J97" s="3">
        <f t="shared" si="8"/>
        <v>11</v>
      </c>
      <c r="K97">
        <v>7.3</v>
      </c>
      <c r="L97">
        <v>7.8</v>
      </c>
      <c r="M97">
        <v>1.5</v>
      </c>
      <c r="N97">
        <v>2.4</v>
      </c>
      <c r="O97">
        <v>3.6</v>
      </c>
      <c r="P97" t="s">
        <v>8</v>
      </c>
      <c r="Q97" t="s">
        <v>8</v>
      </c>
      <c r="R97">
        <v>7.3</v>
      </c>
      <c r="S97">
        <v>11.1</v>
      </c>
      <c r="T97">
        <v>1.9</v>
      </c>
      <c r="U97" t="s">
        <v>8</v>
      </c>
      <c r="V97">
        <v>3</v>
      </c>
      <c r="W97">
        <v>2.1</v>
      </c>
      <c r="X97">
        <v>13</v>
      </c>
      <c r="Y97" t="s">
        <v>8</v>
      </c>
      <c r="Z97" t="s">
        <v>8</v>
      </c>
      <c r="AA97" t="s">
        <v>8</v>
      </c>
      <c r="AB97" t="s">
        <v>8</v>
      </c>
    </row>
    <row r="98" spans="1:28" x14ac:dyDescent="0.25">
      <c r="A98">
        <v>97</v>
      </c>
      <c r="B98" t="s">
        <v>566</v>
      </c>
      <c r="C98" t="s">
        <v>50</v>
      </c>
      <c r="D98" s="6">
        <f t="shared" si="9"/>
        <v>4.7</v>
      </c>
      <c r="E98">
        <v>6.1</v>
      </c>
      <c r="F98">
        <v>60.6</v>
      </c>
      <c r="G98" s="3">
        <f t="shared" si="5"/>
        <v>3</v>
      </c>
      <c r="H98" s="3">
        <f t="shared" si="6"/>
        <v>1</v>
      </c>
      <c r="I98" s="3">
        <f t="shared" si="7"/>
        <v>0</v>
      </c>
      <c r="J98" s="3">
        <f t="shared" si="8"/>
        <v>10</v>
      </c>
      <c r="K98" t="s">
        <v>8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  <c r="Q98" t="s">
        <v>8</v>
      </c>
      <c r="R98">
        <v>0</v>
      </c>
      <c r="S98">
        <v>0</v>
      </c>
      <c r="T98">
        <v>11.8</v>
      </c>
      <c r="U98" t="s">
        <v>8</v>
      </c>
      <c r="V98">
        <v>1.7</v>
      </c>
      <c r="W98">
        <v>4</v>
      </c>
      <c r="X98">
        <v>5.4</v>
      </c>
      <c r="Y98">
        <v>5.4</v>
      </c>
      <c r="Z98">
        <v>10.5</v>
      </c>
      <c r="AA98">
        <v>1.5</v>
      </c>
      <c r="AB98">
        <v>20.3</v>
      </c>
    </row>
    <row r="99" spans="1:28" x14ac:dyDescent="0.25">
      <c r="A99">
        <v>98</v>
      </c>
      <c r="B99" t="s">
        <v>276</v>
      </c>
      <c r="C99" t="s">
        <v>55</v>
      </c>
      <c r="D99" s="6">
        <f t="shared" si="9"/>
        <v>1.7</v>
      </c>
      <c r="E99">
        <v>3.5</v>
      </c>
      <c r="F99">
        <v>60.3</v>
      </c>
      <c r="G99" s="3">
        <f t="shared" si="5"/>
        <v>2</v>
      </c>
      <c r="H99" s="3">
        <f t="shared" si="6"/>
        <v>0</v>
      </c>
      <c r="I99" s="3">
        <f t="shared" si="7"/>
        <v>0</v>
      </c>
      <c r="J99" s="3">
        <f t="shared" si="8"/>
        <v>17</v>
      </c>
      <c r="K99">
        <v>0</v>
      </c>
      <c r="L99">
        <v>10.9</v>
      </c>
      <c r="M99">
        <v>0</v>
      </c>
      <c r="N99">
        <v>3</v>
      </c>
      <c r="O99">
        <v>0</v>
      </c>
      <c r="P99">
        <v>5.0999999999999996</v>
      </c>
      <c r="Q99">
        <v>9.5</v>
      </c>
      <c r="R99">
        <v>0</v>
      </c>
      <c r="S99">
        <v>3.9</v>
      </c>
      <c r="T99">
        <v>0</v>
      </c>
      <c r="U99">
        <v>1.7</v>
      </c>
      <c r="V99">
        <v>15.9</v>
      </c>
      <c r="W99" t="s">
        <v>7</v>
      </c>
      <c r="X99">
        <v>3.3</v>
      </c>
      <c r="Y99">
        <v>0</v>
      </c>
      <c r="Z99">
        <v>0</v>
      </c>
      <c r="AA99">
        <v>5.5</v>
      </c>
      <c r="AB99">
        <v>1.5</v>
      </c>
    </row>
    <row r="100" spans="1:28" x14ac:dyDescent="0.25">
      <c r="A100">
        <v>99</v>
      </c>
      <c r="B100" t="s">
        <v>174</v>
      </c>
      <c r="C100" t="s">
        <v>40</v>
      </c>
      <c r="D100" s="6">
        <f t="shared" si="9"/>
        <v>4.05</v>
      </c>
      <c r="E100">
        <v>4.3</v>
      </c>
      <c r="F100">
        <v>60.1</v>
      </c>
      <c r="G100" s="3">
        <f t="shared" si="5"/>
        <v>1</v>
      </c>
      <c r="H100" s="3">
        <f t="shared" si="6"/>
        <v>0</v>
      </c>
      <c r="I100" s="3">
        <f t="shared" si="7"/>
        <v>0</v>
      </c>
      <c r="J100" s="3">
        <f t="shared" si="8"/>
        <v>14</v>
      </c>
      <c r="K100">
        <v>6.6</v>
      </c>
      <c r="L100">
        <v>4.3</v>
      </c>
      <c r="M100">
        <v>6.9</v>
      </c>
      <c r="N100">
        <v>15.1</v>
      </c>
      <c r="O100">
        <v>6.3</v>
      </c>
      <c r="P100">
        <v>1.8</v>
      </c>
      <c r="Q100" t="s">
        <v>7</v>
      </c>
      <c r="R100">
        <v>7.5</v>
      </c>
      <c r="S100">
        <v>3.8</v>
      </c>
      <c r="T100">
        <v>2.7</v>
      </c>
      <c r="U100">
        <v>0</v>
      </c>
      <c r="V100" t="s">
        <v>8</v>
      </c>
      <c r="W100">
        <v>0</v>
      </c>
      <c r="X100">
        <v>0</v>
      </c>
      <c r="Y100">
        <v>5.0999999999999996</v>
      </c>
      <c r="Z100">
        <v>0</v>
      </c>
      <c r="AA100" t="s">
        <v>8</v>
      </c>
      <c r="AB100" t="s">
        <v>8</v>
      </c>
    </row>
    <row r="101" spans="1:28" x14ac:dyDescent="0.25">
      <c r="A101">
        <v>100</v>
      </c>
      <c r="B101" t="s">
        <v>311</v>
      </c>
      <c r="C101" t="s">
        <v>76</v>
      </c>
      <c r="D101" s="6">
        <f t="shared" si="9"/>
        <v>2.8</v>
      </c>
      <c r="E101">
        <v>3.5</v>
      </c>
      <c r="F101">
        <v>60</v>
      </c>
      <c r="G101" s="3">
        <f t="shared" si="5"/>
        <v>2</v>
      </c>
      <c r="H101" s="3">
        <f t="shared" si="6"/>
        <v>0</v>
      </c>
      <c r="I101" s="3">
        <f t="shared" si="7"/>
        <v>0</v>
      </c>
      <c r="J101" s="3">
        <f t="shared" si="8"/>
        <v>17</v>
      </c>
      <c r="K101">
        <v>1.4</v>
      </c>
      <c r="L101">
        <v>14</v>
      </c>
      <c r="M101">
        <v>0</v>
      </c>
      <c r="N101">
        <v>5.4</v>
      </c>
      <c r="O101">
        <v>3.9</v>
      </c>
      <c r="P101">
        <v>0</v>
      </c>
      <c r="Q101">
        <v>3.3</v>
      </c>
      <c r="R101">
        <v>0</v>
      </c>
      <c r="S101">
        <v>0</v>
      </c>
      <c r="T101">
        <v>0</v>
      </c>
      <c r="U101">
        <v>4.2</v>
      </c>
      <c r="V101">
        <v>8.1999999999999993</v>
      </c>
      <c r="W101" t="s">
        <v>8</v>
      </c>
      <c r="X101">
        <v>10.199999999999999</v>
      </c>
      <c r="Y101">
        <v>0</v>
      </c>
      <c r="Z101">
        <v>0</v>
      </c>
      <c r="AA101">
        <v>2.8</v>
      </c>
      <c r="AB101">
        <v>6.6</v>
      </c>
    </row>
    <row r="102" spans="1:28" x14ac:dyDescent="0.25">
      <c r="A102">
        <v>101</v>
      </c>
      <c r="B102" t="s">
        <v>191</v>
      </c>
      <c r="C102" t="s">
        <v>64</v>
      </c>
      <c r="D102" s="6">
        <f t="shared" si="9"/>
        <v>2.25</v>
      </c>
      <c r="E102">
        <v>3.7</v>
      </c>
      <c r="F102">
        <v>59.7</v>
      </c>
      <c r="G102" s="3">
        <f t="shared" si="5"/>
        <v>2</v>
      </c>
      <c r="H102" s="3">
        <f t="shared" si="6"/>
        <v>0</v>
      </c>
      <c r="I102" s="3">
        <f t="shared" si="7"/>
        <v>0</v>
      </c>
      <c r="J102" s="3">
        <f t="shared" si="8"/>
        <v>16</v>
      </c>
      <c r="K102">
        <v>10.5</v>
      </c>
      <c r="L102">
        <v>2.5</v>
      </c>
      <c r="M102">
        <v>0</v>
      </c>
      <c r="N102">
        <v>6.1</v>
      </c>
      <c r="O102">
        <v>9.6</v>
      </c>
      <c r="P102">
        <v>0</v>
      </c>
      <c r="Q102" t="s">
        <v>7</v>
      </c>
      <c r="R102">
        <v>2.2999999999999998</v>
      </c>
      <c r="S102">
        <v>7.5</v>
      </c>
      <c r="T102" t="s">
        <v>8</v>
      </c>
      <c r="U102">
        <v>4.3</v>
      </c>
      <c r="V102">
        <v>10.4</v>
      </c>
      <c r="W102">
        <v>2</v>
      </c>
      <c r="X102">
        <v>2.2000000000000002</v>
      </c>
      <c r="Y102">
        <v>0</v>
      </c>
      <c r="Z102">
        <v>1.8</v>
      </c>
      <c r="AA102">
        <v>0</v>
      </c>
      <c r="AB102">
        <v>0.5</v>
      </c>
    </row>
    <row r="103" spans="1:28" x14ac:dyDescent="0.25">
      <c r="A103">
        <v>102</v>
      </c>
      <c r="B103" t="s">
        <v>160</v>
      </c>
      <c r="C103" t="s">
        <v>64</v>
      </c>
      <c r="D103" s="6">
        <f t="shared" si="9"/>
        <v>2.2000000000000002</v>
      </c>
      <c r="E103">
        <v>3.5</v>
      </c>
      <c r="F103">
        <v>58.8</v>
      </c>
      <c r="G103" s="3">
        <f t="shared" si="5"/>
        <v>1</v>
      </c>
      <c r="H103" s="3">
        <f t="shared" si="6"/>
        <v>0</v>
      </c>
      <c r="I103" s="3">
        <f t="shared" si="7"/>
        <v>0</v>
      </c>
      <c r="J103" s="3">
        <f t="shared" si="8"/>
        <v>17</v>
      </c>
      <c r="K103">
        <v>0</v>
      </c>
      <c r="L103">
        <v>4.8</v>
      </c>
      <c r="M103">
        <v>0</v>
      </c>
      <c r="N103">
        <v>9.3000000000000007</v>
      </c>
      <c r="O103">
        <v>0</v>
      </c>
      <c r="P103">
        <v>-2</v>
      </c>
      <c r="Q103" t="s">
        <v>7</v>
      </c>
      <c r="R103">
        <v>0</v>
      </c>
      <c r="S103">
        <v>13.9</v>
      </c>
      <c r="T103">
        <v>2.2000000000000002</v>
      </c>
      <c r="U103">
        <v>3.2</v>
      </c>
      <c r="V103">
        <v>6.9</v>
      </c>
      <c r="W103">
        <v>2.7</v>
      </c>
      <c r="X103">
        <v>0</v>
      </c>
      <c r="Y103">
        <v>0</v>
      </c>
      <c r="Z103">
        <v>7.1</v>
      </c>
      <c r="AA103">
        <v>1.9</v>
      </c>
      <c r="AB103">
        <v>8.8000000000000007</v>
      </c>
    </row>
    <row r="104" spans="1:28" x14ac:dyDescent="0.25">
      <c r="A104">
        <v>103</v>
      </c>
      <c r="B104" t="s">
        <v>271</v>
      </c>
      <c r="C104" t="s">
        <v>40</v>
      </c>
      <c r="D104" s="6">
        <f t="shared" si="9"/>
        <v>2.7</v>
      </c>
      <c r="E104">
        <v>3.5</v>
      </c>
      <c r="F104">
        <v>58.7</v>
      </c>
      <c r="G104" s="3">
        <f t="shared" si="5"/>
        <v>1</v>
      </c>
      <c r="H104" s="3">
        <f t="shared" si="6"/>
        <v>0</v>
      </c>
      <c r="I104" s="3">
        <f t="shared" si="7"/>
        <v>0</v>
      </c>
      <c r="J104" s="3">
        <f t="shared" si="8"/>
        <v>17</v>
      </c>
      <c r="K104">
        <v>6</v>
      </c>
      <c r="L104">
        <v>0</v>
      </c>
      <c r="M104">
        <v>0</v>
      </c>
      <c r="N104">
        <v>2.7</v>
      </c>
      <c r="O104">
        <v>-2</v>
      </c>
      <c r="P104">
        <v>1.8</v>
      </c>
      <c r="Q104" t="s">
        <v>7</v>
      </c>
      <c r="R104">
        <v>0.3</v>
      </c>
      <c r="S104">
        <v>5.2</v>
      </c>
      <c r="T104">
        <v>3.4</v>
      </c>
      <c r="U104">
        <v>-0.3</v>
      </c>
      <c r="V104">
        <v>3.5</v>
      </c>
      <c r="W104">
        <v>12.8</v>
      </c>
      <c r="X104">
        <v>8.1999999999999993</v>
      </c>
      <c r="Y104">
        <v>4.9000000000000004</v>
      </c>
      <c r="Z104">
        <v>2.7</v>
      </c>
      <c r="AA104">
        <v>8.1</v>
      </c>
      <c r="AB104">
        <v>1.4</v>
      </c>
    </row>
    <row r="105" spans="1:28" x14ac:dyDescent="0.25">
      <c r="A105">
        <v>104</v>
      </c>
      <c r="B105" t="s">
        <v>349</v>
      </c>
      <c r="C105" t="s">
        <v>32</v>
      </c>
      <c r="D105" s="6">
        <f t="shared" si="9"/>
        <v>2.95</v>
      </c>
      <c r="E105">
        <v>3.6</v>
      </c>
      <c r="F105">
        <v>57.9</v>
      </c>
      <c r="G105" s="3">
        <f t="shared" si="5"/>
        <v>1</v>
      </c>
      <c r="H105" s="3">
        <f t="shared" si="6"/>
        <v>0</v>
      </c>
      <c r="I105" s="3">
        <f t="shared" si="7"/>
        <v>0</v>
      </c>
      <c r="J105" s="3">
        <f t="shared" si="8"/>
        <v>16</v>
      </c>
      <c r="K105">
        <v>7.2</v>
      </c>
      <c r="L105">
        <v>4.8</v>
      </c>
      <c r="M105">
        <v>5.3</v>
      </c>
      <c r="N105">
        <v>17.399999999999999</v>
      </c>
      <c r="O105">
        <v>3.3</v>
      </c>
      <c r="P105">
        <v>4</v>
      </c>
      <c r="Q105">
        <v>1.7</v>
      </c>
      <c r="R105">
        <v>2.8</v>
      </c>
      <c r="S105">
        <v>0</v>
      </c>
      <c r="T105" t="s">
        <v>8</v>
      </c>
      <c r="U105" t="s">
        <v>8</v>
      </c>
      <c r="V105">
        <v>0</v>
      </c>
      <c r="W105">
        <v>0</v>
      </c>
      <c r="X105">
        <v>3.3</v>
      </c>
      <c r="Y105">
        <v>2.2000000000000002</v>
      </c>
      <c r="Z105">
        <v>0</v>
      </c>
      <c r="AA105">
        <v>3</v>
      </c>
      <c r="AB105">
        <v>2.9</v>
      </c>
    </row>
    <row r="106" spans="1:28" x14ac:dyDescent="0.25">
      <c r="A106">
        <v>105</v>
      </c>
      <c r="B106" t="s">
        <v>248</v>
      </c>
      <c r="C106" t="s">
        <v>53</v>
      </c>
      <c r="D106" s="6">
        <f t="shared" si="9"/>
        <v>1.8</v>
      </c>
      <c r="E106">
        <v>3.3</v>
      </c>
      <c r="F106">
        <v>56.9</v>
      </c>
      <c r="G106" s="3">
        <f t="shared" si="5"/>
        <v>2</v>
      </c>
      <c r="H106" s="3">
        <f t="shared" si="6"/>
        <v>0</v>
      </c>
      <c r="I106" s="3">
        <f t="shared" si="7"/>
        <v>0</v>
      </c>
      <c r="J106" s="3">
        <f t="shared" si="8"/>
        <v>17</v>
      </c>
      <c r="K106">
        <v>0</v>
      </c>
      <c r="L106">
        <v>1.3</v>
      </c>
      <c r="M106">
        <v>7.5</v>
      </c>
      <c r="N106">
        <v>0</v>
      </c>
      <c r="O106" t="s">
        <v>7</v>
      </c>
      <c r="P106">
        <v>6.3</v>
      </c>
      <c r="Q106">
        <v>16.100000000000001</v>
      </c>
      <c r="R106">
        <v>10.6</v>
      </c>
      <c r="S106">
        <v>0</v>
      </c>
      <c r="T106">
        <v>3.3</v>
      </c>
      <c r="U106">
        <v>1.8</v>
      </c>
      <c r="V106">
        <v>1.6</v>
      </c>
      <c r="W106">
        <v>1.9</v>
      </c>
      <c r="X106">
        <v>0</v>
      </c>
      <c r="Y106">
        <v>1.4</v>
      </c>
      <c r="Z106">
        <v>1.8</v>
      </c>
      <c r="AA106">
        <v>1.4</v>
      </c>
      <c r="AB106">
        <v>1.9</v>
      </c>
    </row>
    <row r="107" spans="1:28" x14ac:dyDescent="0.25">
      <c r="A107">
        <v>106</v>
      </c>
      <c r="B107" t="s">
        <v>200</v>
      </c>
      <c r="C107" t="s">
        <v>53</v>
      </c>
      <c r="D107" s="6">
        <f t="shared" si="9"/>
        <v>2.7</v>
      </c>
      <c r="E107">
        <v>3.5</v>
      </c>
      <c r="F107">
        <v>56.5</v>
      </c>
      <c r="G107" s="3">
        <f t="shared" si="5"/>
        <v>1</v>
      </c>
      <c r="H107" s="3">
        <f t="shared" si="6"/>
        <v>0</v>
      </c>
      <c r="I107" s="3">
        <f t="shared" si="7"/>
        <v>0</v>
      </c>
      <c r="J107" s="3">
        <f t="shared" si="8"/>
        <v>16</v>
      </c>
      <c r="K107">
        <v>6.8</v>
      </c>
      <c r="L107">
        <v>3.3</v>
      </c>
      <c r="M107">
        <v>4.7</v>
      </c>
      <c r="N107">
        <v>1.6</v>
      </c>
      <c r="O107">
        <v>2.2000000000000002</v>
      </c>
      <c r="P107">
        <v>0</v>
      </c>
      <c r="Q107">
        <v>17.399999999999999</v>
      </c>
      <c r="R107">
        <v>2.7</v>
      </c>
      <c r="S107">
        <v>4.2</v>
      </c>
      <c r="T107" t="s">
        <v>8</v>
      </c>
      <c r="U107">
        <v>0</v>
      </c>
      <c r="V107">
        <v>0.9</v>
      </c>
      <c r="W107">
        <v>4.5</v>
      </c>
      <c r="X107">
        <v>4.2</v>
      </c>
      <c r="Y107">
        <v>2.7</v>
      </c>
      <c r="Z107">
        <v>0</v>
      </c>
      <c r="AA107">
        <v>1.3</v>
      </c>
      <c r="AB107" t="s">
        <v>8</v>
      </c>
    </row>
    <row r="108" spans="1:28" x14ac:dyDescent="0.25">
      <c r="A108">
        <v>107</v>
      </c>
      <c r="B108" t="s">
        <v>353</v>
      </c>
      <c r="C108" t="s">
        <v>62</v>
      </c>
      <c r="D108" s="6">
        <f t="shared" si="9"/>
        <v>2.5</v>
      </c>
      <c r="E108">
        <v>3.8</v>
      </c>
      <c r="F108">
        <v>53.7</v>
      </c>
      <c r="G108" s="3">
        <f t="shared" si="5"/>
        <v>1</v>
      </c>
      <c r="H108" s="3">
        <f t="shared" si="6"/>
        <v>0</v>
      </c>
      <c r="I108" s="3">
        <f t="shared" si="7"/>
        <v>0</v>
      </c>
      <c r="J108" s="3">
        <f t="shared" si="8"/>
        <v>14</v>
      </c>
      <c r="K108">
        <v>0.4</v>
      </c>
      <c r="L108">
        <v>16</v>
      </c>
      <c r="M108">
        <v>8.1999999999999993</v>
      </c>
      <c r="N108">
        <v>1.9</v>
      </c>
      <c r="O108">
        <v>3.1</v>
      </c>
      <c r="P108">
        <v>4.2</v>
      </c>
      <c r="Q108">
        <v>3.5</v>
      </c>
      <c r="R108">
        <v>1.8</v>
      </c>
      <c r="S108">
        <v>5.3</v>
      </c>
      <c r="T108" t="s">
        <v>7</v>
      </c>
      <c r="U108">
        <v>1.4</v>
      </c>
      <c r="V108">
        <v>6.4</v>
      </c>
      <c r="W108">
        <v>1.5</v>
      </c>
      <c r="X108">
        <v>0</v>
      </c>
      <c r="Y108">
        <v>0</v>
      </c>
      <c r="Z108" t="s">
        <v>8</v>
      </c>
      <c r="AA108" t="s">
        <v>8</v>
      </c>
      <c r="AB108" t="s">
        <v>8</v>
      </c>
    </row>
    <row r="109" spans="1:28" x14ac:dyDescent="0.25">
      <c r="A109">
        <v>108</v>
      </c>
      <c r="B109" t="s">
        <v>371</v>
      </c>
      <c r="C109" t="s">
        <v>90</v>
      </c>
      <c r="D109" s="6">
        <f t="shared" si="9"/>
        <v>2.8</v>
      </c>
      <c r="E109">
        <v>4.0999999999999996</v>
      </c>
      <c r="F109">
        <v>53</v>
      </c>
      <c r="G109" s="3">
        <f t="shared" si="5"/>
        <v>0</v>
      </c>
      <c r="H109" s="3">
        <f t="shared" si="6"/>
        <v>0</v>
      </c>
      <c r="I109" s="3">
        <f t="shared" si="7"/>
        <v>0</v>
      </c>
      <c r="J109" s="3">
        <f t="shared" si="8"/>
        <v>13</v>
      </c>
      <c r="K109">
        <v>1</v>
      </c>
      <c r="L109">
        <v>8.8000000000000007</v>
      </c>
      <c r="M109">
        <v>0.9</v>
      </c>
      <c r="N109">
        <v>4.2</v>
      </c>
      <c r="O109">
        <v>7.7</v>
      </c>
      <c r="P109">
        <v>9.4</v>
      </c>
      <c r="Q109">
        <v>2.2999999999999998</v>
      </c>
      <c r="R109">
        <v>1.1000000000000001</v>
      </c>
      <c r="S109">
        <v>2.8</v>
      </c>
      <c r="T109" t="s">
        <v>8</v>
      </c>
      <c r="U109">
        <v>4.5999999999999996</v>
      </c>
      <c r="V109" t="s">
        <v>8</v>
      </c>
      <c r="W109">
        <v>0.6</v>
      </c>
      <c r="X109">
        <v>7.1</v>
      </c>
      <c r="Y109">
        <v>2.5</v>
      </c>
      <c r="Z109" t="s">
        <v>8</v>
      </c>
      <c r="AA109" t="s">
        <v>8</v>
      </c>
      <c r="AB109" t="s">
        <v>8</v>
      </c>
    </row>
    <row r="110" spans="1:28" x14ac:dyDescent="0.25">
      <c r="A110">
        <v>109</v>
      </c>
      <c r="B110" t="s">
        <v>178</v>
      </c>
      <c r="C110" t="s">
        <v>78</v>
      </c>
      <c r="D110" s="6">
        <f t="shared" si="9"/>
        <v>1.5</v>
      </c>
      <c r="E110">
        <v>3.1</v>
      </c>
      <c r="F110">
        <v>52.7</v>
      </c>
      <c r="G110" s="3">
        <f t="shared" si="5"/>
        <v>1</v>
      </c>
      <c r="H110" s="3">
        <f t="shared" si="6"/>
        <v>0</v>
      </c>
      <c r="I110" s="3">
        <f t="shared" si="7"/>
        <v>0</v>
      </c>
      <c r="J110" s="3">
        <f t="shared" si="8"/>
        <v>17</v>
      </c>
      <c r="K110">
        <v>9.6999999999999993</v>
      </c>
      <c r="L110">
        <v>1.8</v>
      </c>
      <c r="M110">
        <v>15.2</v>
      </c>
      <c r="N110">
        <v>5.9</v>
      </c>
      <c r="O110">
        <v>0</v>
      </c>
      <c r="P110" t="s">
        <v>7</v>
      </c>
      <c r="Q110">
        <v>0.1</v>
      </c>
      <c r="R110">
        <v>4.9000000000000004</v>
      </c>
      <c r="S110">
        <v>1</v>
      </c>
      <c r="T110">
        <v>1.9</v>
      </c>
      <c r="U110">
        <v>0</v>
      </c>
      <c r="V110">
        <v>1.5</v>
      </c>
      <c r="W110">
        <v>2</v>
      </c>
      <c r="X110">
        <v>1.2</v>
      </c>
      <c r="Y110">
        <v>0</v>
      </c>
      <c r="Z110">
        <v>6.7</v>
      </c>
      <c r="AA110">
        <v>0</v>
      </c>
      <c r="AB110">
        <v>0.8</v>
      </c>
    </row>
    <row r="111" spans="1:28" x14ac:dyDescent="0.25">
      <c r="A111">
        <v>110</v>
      </c>
      <c r="B111" t="s">
        <v>140</v>
      </c>
      <c r="C111" t="s">
        <v>76</v>
      </c>
      <c r="D111" s="6">
        <f t="shared" si="9"/>
        <v>2.9</v>
      </c>
      <c r="E111">
        <v>4</v>
      </c>
      <c r="F111">
        <v>51.5</v>
      </c>
      <c r="G111" s="3">
        <f t="shared" si="5"/>
        <v>2</v>
      </c>
      <c r="H111" s="3">
        <f t="shared" si="6"/>
        <v>0</v>
      </c>
      <c r="I111" s="3">
        <f t="shared" si="7"/>
        <v>0</v>
      </c>
      <c r="J111" s="3">
        <f t="shared" si="8"/>
        <v>13</v>
      </c>
      <c r="K111">
        <v>0</v>
      </c>
      <c r="L111">
        <v>7.1</v>
      </c>
      <c r="M111">
        <v>5.0999999999999996</v>
      </c>
      <c r="N111" t="s">
        <v>8</v>
      </c>
      <c r="O111">
        <v>2.9</v>
      </c>
      <c r="P111">
        <v>4.5999999999999996</v>
      </c>
      <c r="Q111">
        <v>10.4</v>
      </c>
      <c r="R111">
        <v>0</v>
      </c>
      <c r="S111" t="s">
        <v>7</v>
      </c>
      <c r="T111">
        <v>1.8</v>
      </c>
      <c r="U111">
        <v>0</v>
      </c>
      <c r="V111">
        <v>1.7</v>
      </c>
      <c r="W111">
        <v>13.4</v>
      </c>
      <c r="X111">
        <v>0</v>
      </c>
      <c r="Y111">
        <v>4.5</v>
      </c>
      <c r="Z111" t="s">
        <v>8</v>
      </c>
      <c r="AA111" t="s">
        <v>8</v>
      </c>
      <c r="AB111" t="s">
        <v>8</v>
      </c>
    </row>
    <row r="112" spans="1:28" x14ac:dyDescent="0.25">
      <c r="A112">
        <v>111</v>
      </c>
      <c r="B112" t="s">
        <v>176</v>
      </c>
      <c r="C112" t="s">
        <v>30</v>
      </c>
      <c r="D112" s="6">
        <f t="shared" si="9"/>
        <v>0.75</v>
      </c>
      <c r="E112">
        <v>3.2</v>
      </c>
      <c r="F112">
        <v>50.6</v>
      </c>
      <c r="G112" s="3">
        <f t="shared" si="5"/>
        <v>1</v>
      </c>
      <c r="H112" s="3">
        <f t="shared" si="6"/>
        <v>1</v>
      </c>
      <c r="I112" s="3">
        <f t="shared" si="7"/>
        <v>0</v>
      </c>
      <c r="J112" s="3">
        <f t="shared" si="8"/>
        <v>16</v>
      </c>
      <c r="K112">
        <v>0</v>
      </c>
      <c r="L112">
        <v>0</v>
      </c>
      <c r="M112">
        <v>0</v>
      </c>
      <c r="N112">
        <v>0</v>
      </c>
      <c r="O112">
        <v>1.9</v>
      </c>
      <c r="P112">
        <v>7.3</v>
      </c>
      <c r="Q112" t="s">
        <v>7</v>
      </c>
      <c r="R112">
        <v>7.2</v>
      </c>
      <c r="S112">
        <v>1.9</v>
      </c>
      <c r="T112">
        <v>0</v>
      </c>
      <c r="U112" t="s">
        <v>8</v>
      </c>
      <c r="V112">
        <v>2.6</v>
      </c>
      <c r="W112">
        <v>0</v>
      </c>
      <c r="X112">
        <v>0</v>
      </c>
      <c r="Y112">
        <v>1.5</v>
      </c>
      <c r="Z112">
        <v>7.6</v>
      </c>
      <c r="AA112">
        <v>0</v>
      </c>
      <c r="AB112">
        <v>20.6</v>
      </c>
    </row>
    <row r="113" spans="1:28" x14ac:dyDescent="0.25">
      <c r="A113">
        <v>112</v>
      </c>
      <c r="B113" t="s">
        <v>223</v>
      </c>
      <c r="C113" t="s">
        <v>90</v>
      </c>
      <c r="D113" s="6">
        <f t="shared" si="9"/>
        <v>16.600000000000001</v>
      </c>
      <c r="E113">
        <v>16.7</v>
      </c>
      <c r="F113">
        <v>50.2</v>
      </c>
      <c r="G113" s="3">
        <f t="shared" si="5"/>
        <v>2</v>
      </c>
      <c r="H113" s="3">
        <f t="shared" si="6"/>
        <v>1</v>
      </c>
      <c r="I113" s="3">
        <f t="shared" si="7"/>
        <v>0</v>
      </c>
      <c r="J113" s="3">
        <f t="shared" si="8"/>
        <v>3</v>
      </c>
      <c r="K113">
        <v>8.5</v>
      </c>
      <c r="L113">
        <v>16.600000000000001</v>
      </c>
      <c r="M113">
        <v>25.1</v>
      </c>
      <c r="N113" t="s">
        <v>8</v>
      </c>
      <c r="O113" t="s">
        <v>8</v>
      </c>
      <c r="P113" t="s">
        <v>8</v>
      </c>
      <c r="Q113" t="s">
        <v>8</v>
      </c>
      <c r="R113" t="s">
        <v>8</v>
      </c>
      <c r="S113" t="s">
        <v>8</v>
      </c>
      <c r="T113" t="s">
        <v>8</v>
      </c>
      <c r="U113" t="s">
        <v>8</v>
      </c>
      <c r="V113" t="s">
        <v>8</v>
      </c>
      <c r="W113" t="s">
        <v>8</v>
      </c>
      <c r="X113" t="s">
        <v>8</v>
      </c>
      <c r="Y113" t="s">
        <v>8</v>
      </c>
      <c r="Z113" t="s">
        <v>8</v>
      </c>
      <c r="AA113" t="s">
        <v>8</v>
      </c>
      <c r="AB113" t="s">
        <v>8</v>
      </c>
    </row>
    <row r="114" spans="1:28" x14ac:dyDescent="0.25">
      <c r="A114">
        <v>113</v>
      </c>
      <c r="B114" t="s">
        <v>302</v>
      </c>
      <c r="C114" t="s">
        <v>69</v>
      </c>
      <c r="D114" s="6">
        <f t="shared" si="9"/>
        <v>0</v>
      </c>
      <c r="E114">
        <v>3.2</v>
      </c>
      <c r="F114">
        <v>48.7</v>
      </c>
      <c r="G114" s="3">
        <f t="shared" si="5"/>
        <v>2</v>
      </c>
      <c r="H114" s="3">
        <f t="shared" si="6"/>
        <v>1</v>
      </c>
      <c r="I114" s="3">
        <f t="shared" si="7"/>
        <v>0</v>
      </c>
      <c r="J114" s="3">
        <f t="shared" si="8"/>
        <v>15</v>
      </c>
      <c r="K114">
        <v>0</v>
      </c>
      <c r="L114">
        <v>5.7</v>
      </c>
      <c r="M114">
        <v>0</v>
      </c>
      <c r="N114">
        <v>0</v>
      </c>
      <c r="O114" t="s">
        <v>7</v>
      </c>
      <c r="P114">
        <v>1.6</v>
      </c>
      <c r="Q114">
        <v>0</v>
      </c>
      <c r="R114">
        <v>0</v>
      </c>
      <c r="S114" t="s">
        <v>8</v>
      </c>
      <c r="T114" t="s">
        <v>8</v>
      </c>
      <c r="U114">
        <v>0</v>
      </c>
      <c r="V114">
        <v>0</v>
      </c>
      <c r="W114">
        <v>3.2</v>
      </c>
      <c r="X114">
        <v>11.1</v>
      </c>
      <c r="Y114">
        <v>0</v>
      </c>
      <c r="Z114">
        <v>1.6</v>
      </c>
      <c r="AA114">
        <v>2.7</v>
      </c>
      <c r="AB114">
        <v>22.8</v>
      </c>
    </row>
    <row r="115" spans="1:28" x14ac:dyDescent="0.25">
      <c r="A115">
        <v>114</v>
      </c>
      <c r="B115" t="s">
        <v>567</v>
      </c>
      <c r="C115" t="s">
        <v>36</v>
      </c>
      <c r="D115" s="6">
        <f t="shared" si="9"/>
        <v>3.25</v>
      </c>
      <c r="E115">
        <v>3</v>
      </c>
      <c r="F115">
        <v>48.5</v>
      </c>
      <c r="G115" s="3">
        <f t="shared" si="5"/>
        <v>0</v>
      </c>
      <c r="H115" s="3">
        <f t="shared" si="6"/>
        <v>0</v>
      </c>
      <c r="I115" s="3">
        <f t="shared" si="7"/>
        <v>0</v>
      </c>
      <c r="J115" s="3">
        <f t="shared" si="8"/>
        <v>16</v>
      </c>
      <c r="K115" t="s">
        <v>8</v>
      </c>
      <c r="L115">
        <v>3.3</v>
      </c>
      <c r="M115">
        <v>3.7</v>
      </c>
      <c r="N115">
        <v>3.2</v>
      </c>
      <c r="O115">
        <v>1.7</v>
      </c>
      <c r="P115">
        <v>0</v>
      </c>
      <c r="Q115">
        <v>3.4</v>
      </c>
      <c r="R115">
        <v>3.9</v>
      </c>
      <c r="S115">
        <v>5.2</v>
      </c>
      <c r="T115">
        <v>1.5</v>
      </c>
      <c r="U115">
        <v>9.1999999999999993</v>
      </c>
      <c r="V115">
        <v>7.8</v>
      </c>
      <c r="W115" t="s">
        <v>8</v>
      </c>
      <c r="X115">
        <v>5.6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115</v>
      </c>
      <c r="B116" t="s">
        <v>219</v>
      </c>
      <c r="C116" t="s">
        <v>55</v>
      </c>
      <c r="D116" s="6">
        <f t="shared" si="9"/>
        <v>1.75</v>
      </c>
      <c r="E116">
        <v>3</v>
      </c>
      <c r="F116">
        <v>47.2</v>
      </c>
      <c r="G116" s="3">
        <f t="shared" si="5"/>
        <v>2</v>
      </c>
      <c r="H116" s="3">
        <f t="shared" si="6"/>
        <v>0</v>
      </c>
      <c r="I116" s="3">
        <f t="shared" si="7"/>
        <v>0</v>
      </c>
      <c r="J116" s="3">
        <f t="shared" si="8"/>
        <v>16</v>
      </c>
      <c r="K116">
        <v>9.1</v>
      </c>
      <c r="L116">
        <v>1.4</v>
      </c>
      <c r="M116" t="s">
        <v>8</v>
      </c>
      <c r="N116">
        <v>2.1</v>
      </c>
      <c r="O116">
        <v>0</v>
      </c>
      <c r="P116">
        <v>0</v>
      </c>
      <c r="Q116">
        <v>0</v>
      </c>
      <c r="R116">
        <v>0</v>
      </c>
      <c r="S116" t="s">
        <v>8</v>
      </c>
      <c r="T116">
        <v>2.4</v>
      </c>
      <c r="U116">
        <v>0</v>
      </c>
      <c r="V116">
        <v>2.2999999999999998</v>
      </c>
      <c r="W116">
        <v>2.2000000000000002</v>
      </c>
      <c r="X116">
        <v>2.2000000000000002</v>
      </c>
      <c r="Y116">
        <v>10.6</v>
      </c>
      <c r="Z116">
        <v>0</v>
      </c>
      <c r="AA116">
        <v>14.9</v>
      </c>
      <c r="AB116">
        <v>0</v>
      </c>
    </row>
    <row r="117" spans="1:28" x14ac:dyDescent="0.25">
      <c r="A117">
        <v>116</v>
      </c>
      <c r="B117" t="s">
        <v>252</v>
      </c>
      <c r="C117" t="s">
        <v>16</v>
      </c>
      <c r="D117" s="6">
        <f t="shared" si="9"/>
        <v>9.1</v>
      </c>
      <c r="E117">
        <v>9.1999999999999993</v>
      </c>
      <c r="F117">
        <v>45.9</v>
      </c>
      <c r="G117" s="3">
        <f t="shared" si="5"/>
        <v>2</v>
      </c>
      <c r="H117" s="3">
        <f t="shared" si="6"/>
        <v>1</v>
      </c>
      <c r="I117" s="3">
        <f t="shared" si="7"/>
        <v>0</v>
      </c>
      <c r="J117" s="3">
        <f t="shared" si="8"/>
        <v>5</v>
      </c>
      <c r="K117" t="s">
        <v>8</v>
      </c>
      <c r="L117" t="s">
        <v>8</v>
      </c>
      <c r="M117" t="s">
        <v>8</v>
      </c>
      <c r="N117" t="s">
        <v>8</v>
      </c>
      <c r="O117" t="s">
        <v>8</v>
      </c>
      <c r="P117" t="s">
        <v>7</v>
      </c>
      <c r="Q117" t="s">
        <v>8</v>
      </c>
      <c r="R117" t="s">
        <v>8</v>
      </c>
      <c r="S117" t="s">
        <v>8</v>
      </c>
      <c r="T117" t="s">
        <v>8</v>
      </c>
      <c r="U117" t="s">
        <v>8</v>
      </c>
      <c r="V117">
        <v>0</v>
      </c>
      <c r="W117" t="s">
        <v>8</v>
      </c>
      <c r="X117" t="s">
        <v>8</v>
      </c>
      <c r="Y117">
        <v>1.7</v>
      </c>
      <c r="Z117">
        <v>9.1</v>
      </c>
      <c r="AA117">
        <v>22.5</v>
      </c>
      <c r="AB117">
        <v>12.6</v>
      </c>
    </row>
    <row r="118" spans="1:28" x14ac:dyDescent="0.25">
      <c r="A118">
        <v>117</v>
      </c>
      <c r="B118" t="s">
        <v>340</v>
      </c>
      <c r="C118" t="s">
        <v>90</v>
      </c>
      <c r="D118" s="6">
        <f t="shared" si="9"/>
        <v>4.0999999999999996</v>
      </c>
      <c r="E118">
        <v>5.7</v>
      </c>
      <c r="F118">
        <v>45.2</v>
      </c>
      <c r="G118" s="3">
        <f t="shared" si="5"/>
        <v>1</v>
      </c>
      <c r="H118" s="3">
        <f t="shared" si="6"/>
        <v>0</v>
      </c>
      <c r="I118" s="3">
        <f t="shared" si="7"/>
        <v>0</v>
      </c>
      <c r="J118" s="3">
        <f t="shared" si="8"/>
        <v>8</v>
      </c>
      <c r="K118" t="s">
        <v>8</v>
      </c>
      <c r="L118" t="s">
        <v>8</v>
      </c>
      <c r="M118" t="s">
        <v>8</v>
      </c>
      <c r="N118" t="s">
        <v>8</v>
      </c>
      <c r="O118" t="s">
        <v>8</v>
      </c>
      <c r="P118" t="s">
        <v>8</v>
      </c>
      <c r="Q118" t="s">
        <v>8</v>
      </c>
      <c r="R118" t="s">
        <v>8</v>
      </c>
      <c r="S118" t="s">
        <v>8</v>
      </c>
      <c r="T118" t="s">
        <v>8</v>
      </c>
      <c r="U118">
        <v>2.2000000000000002</v>
      </c>
      <c r="V118">
        <v>2.7</v>
      </c>
      <c r="W118">
        <v>3.3</v>
      </c>
      <c r="X118">
        <v>1.9</v>
      </c>
      <c r="Y118">
        <v>8.3000000000000007</v>
      </c>
      <c r="Z118">
        <v>5.0999999999999996</v>
      </c>
      <c r="AA118">
        <v>16.8</v>
      </c>
      <c r="AB118">
        <v>4.9000000000000004</v>
      </c>
    </row>
    <row r="119" spans="1:28" x14ac:dyDescent="0.25">
      <c r="A119">
        <v>118</v>
      </c>
      <c r="B119" t="s">
        <v>206</v>
      </c>
      <c r="C119" t="s">
        <v>69</v>
      </c>
      <c r="D119" s="6">
        <f t="shared" si="9"/>
        <v>1.9</v>
      </c>
      <c r="E119">
        <v>3.2</v>
      </c>
      <c r="F119">
        <v>44.2</v>
      </c>
      <c r="G119" s="3">
        <f t="shared" si="5"/>
        <v>0</v>
      </c>
      <c r="H119" s="3">
        <f t="shared" si="6"/>
        <v>0</v>
      </c>
      <c r="I119" s="3">
        <f t="shared" si="7"/>
        <v>0</v>
      </c>
      <c r="J119" s="3">
        <f t="shared" si="8"/>
        <v>14</v>
      </c>
      <c r="K119">
        <v>0</v>
      </c>
      <c r="L119">
        <v>0</v>
      </c>
      <c r="M119">
        <v>0</v>
      </c>
      <c r="N119">
        <v>1.5</v>
      </c>
      <c r="O119" t="s">
        <v>7</v>
      </c>
      <c r="P119" t="s">
        <v>8</v>
      </c>
      <c r="Q119" t="s">
        <v>8</v>
      </c>
      <c r="R119" t="s">
        <v>8</v>
      </c>
      <c r="S119">
        <v>1.3</v>
      </c>
      <c r="T119">
        <v>0</v>
      </c>
      <c r="U119">
        <v>2</v>
      </c>
      <c r="V119">
        <v>9.5</v>
      </c>
      <c r="W119">
        <v>4</v>
      </c>
      <c r="X119">
        <v>4.3</v>
      </c>
      <c r="Y119">
        <v>9.1999999999999993</v>
      </c>
      <c r="Z119">
        <v>3.3</v>
      </c>
      <c r="AA119">
        <v>1.8</v>
      </c>
      <c r="AB119">
        <v>7.3</v>
      </c>
    </row>
    <row r="120" spans="1:28" x14ac:dyDescent="0.25">
      <c r="A120">
        <v>119</v>
      </c>
      <c r="B120" t="s">
        <v>194</v>
      </c>
      <c r="C120" t="s">
        <v>57</v>
      </c>
      <c r="D120" s="6">
        <f t="shared" si="9"/>
        <v>3.3</v>
      </c>
      <c r="E120">
        <v>3.3</v>
      </c>
      <c r="F120">
        <v>43.1</v>
      </c>
      <c r="G120" s="3">
        <f t="shared" si="5"/>
        <v>0</v>
      </c>
      <c r="H120" s="3">
        <f t="shared" si="6"/>
        <v>0</v>
      </c>
      <c r="I120" s="3">
        <f t="shared" si="7"/>
        <v>0</v>
      </c>
      <c r="J120" s="3">
        <f t="shared" si="8"/>
        <v>13</v>
      </c>
      <c r="K120">
        <v>6.1</v>
      </c>
      <c r="L120">
        <v>9</v>
      </c>
      <c r="M120">
        <v>3.3</v>
      </c>
      <c r="N120">
        <v>0</v>
      </c>
      <c r="O120">
        <v>4.9000000000000004</v>
      </c>
      <c r="P120">
        <v>7.1</v>
      </c>
      <c r="Q120">
        <v>0</v>
      </c>
      <c r="R120">
        <v>4.7</v>
      </c>
      <c r="S120">
        <v>6.6</v>
      </c>
      <c r="T120" t="s">
        <v>8</v>
      </c>
      <c r="U120" t="s">
        <v>7</v>
      </c>
      <c r="V120" t="s">
        <v>8</v>
      </c>
      <c r="W120" t="s">
        <v>8</v>
      </c>
      <c r="X120">
        <v>1.4</v>
      </c>
      <c r="Y120" t="s">
        <v>8</v>
      </c>
      <c r="Z120">
        <v>0</v>
      </c>
      <c r="AA120">
        <v>0</v>
      </c>
      <c r="AB120">
        <v>0</v>
      </c>
    </row>
    <row r="121" spans="1:28" x14ac:dyDescent="0.25">
      <c r="A121">
        <v>120</v>
      </c>
      <c r="B121" t="s">
        <v>216</v>
      </c>
      <c r="C121" t="s">
        <v>47</v>
      </c>
      <c r="D121" s="6">
        <f t="shared" si="9"/>
        <v>2.2999999999999998</v>
      </c>
      <c r="E121">
        <v>2.4</v>
      </c>
      <c r="F121">
        <v>41.3</v>
      </c>
      <c r="G121" s="3">
        <f t="shared" si="5"/>
        <v>0</v>
      </c>
      <c r="H121" s="3">
        <f t="shared" si="6"/>
        <v>0</v>
      </c>
      <c r="I121" s="3">
        <f t="shared" si="7"/>
        <v>0</v>
      </c>
      <c r="J121" s="3">
        <f t="shared" si="8"/>
        <v>17</v>
      </c>
      <c r="K121">
        <v>6.4</v>
      </c>
      <c r="L121">
        <v>1.9</v>
      </c>
      <c r="M121">
        <v>6</v>
      </c>
      <c r="N121">
        <v>4.9000000000000004</v>
      </c>
      <c r="O121">
        <v>0</v>
      </c>
      <c r="P121">
        <v>0</v>
      </c>
      <c r="Q121">
        <v>1.5</v>
      </c>
      <c r="R121">
        <v>5.4</v>
      </c>
      <c r="S121">
        <v>2.4</v>
      </c>
      <c r="T121">
        <v>0</v>
      </c>
      <c r="U121" t="s">
        <v>8</v>
      </c>
      <c r="V121">
        <v>2.2999999999999998</v>
      </c>
      <c r="W121">
        <v>0</v>
      </c>
      <c r="X121">
        <v>0</v>
      </c>
      <c r="Y121">
        <v>0</v>
      </c>
      <c r="Z121">
        <v>2.2999999999999998</v>
      </c>
      <c r="AA121">
        <v>4.9000000000000004</v>
      </c>
      <c r="AB121">
        <v>3.3</v>
      </c>
    </row>
    <row r="122" spans="1:28" x14ac:dyDescent="0.25">
      <c r="A122">
        <v>121</v>
      </c>
      <c r="B122" t="s">
        <v>568</v>
      </c>
      <c r="C122" t="s">
        <v>14</v>
      </c>
      <c r="D122" s="6">
        <f t="shared" si="9"/>
        <v>1.5</v>
      </c>
      <c r="E122">
        <v>3.7</v>
      </c>
      <c r="F122">
        <v>40.299999999999997</v>
      </c>
      <c r="G122" s="3">
        <f t="shared" si="5"/>
        <v>1</v>
      </c>
      <c r="H122" s="3">
        <f t="shared" si="6"/>
        <v>0</v>
      </c>
      <c r="I122" s="3">
        <f t="shared" si="7"/>
        <v>0</v>
      </c>
      <c r="J122" s="3">
        <f t="shared" si="8"/>
        <v>11</v>
      </c>
      <c r="K122">
        <v>-0.2</v>
      </c>
      <c r="L122">
        <v>1.5</v>
      </c>
      <c r="M122">
        <v>6.9</v>
      </c>
      <c r="N122" t="s">
        <v>8</v>
      </c>
      <c r="O122">
        <v>0.1</v>
      </c>
      <c r="P122">
        <v>0</v>
      </c>
      <c r="Q122">
        <v>7.5</v>
      </c>
      <c r="R122">
        <v>0</v>
      </c>
      <c r="S122" t="s">
        <v>8</v>
      </c>
      <c r="T122">
        <v>0</v>
      </c>
      <c r="U122" t="s">
        <v>7</v>
      </c>
      <c r="V122" t="s">
        <v>8</v>
      </c>
      <c r="W122" t="s">
        <v>8</v>
      </c>
      <c r="X122" t="s">
        <v>8</v>
      </c>
      <c r="Y122">
        <v>15</v>
      </c>
      <c r="Z122">
        <v>2.2000000000000002</v>
      </c>
      <c r="AA122">
        <v>7.3</v>
      </c>
      <c r="AB122" t="s">
        <v>8</v>
      </c>
    </row>
    <row r="123" spans="1:28" x14ac:dyDescent="0.25">
      <c r="A123">
        <v>122</v>
      </c>
      <c r="B123" t="s">
        <v>352</v>
      </c>
      <c r="C123" t="s">
        <v>90</v>
      </c>
      <c r="D123" s="6">
        <f t="shared" si="9"/>
        <v>2.2000000000000002</v>
      </c>
      <c r="E123">
        <v>2.5</v>
      </c>
      <c r="F123">
        <v>40</v>
      </c>
      <c r="G123" s="3">
        <f t="shared" si="5"/>
        <v>0</v>
      </c>
      <c r="H123" s="3">
        <f t="shared" si="6"/>
        <v>0</v>
      </c>
      <c r="I123" s="3">
        <f t="shared" si="7"/>
        <v>0</v>
      </c>
      <c r="J123" s="3">
        <f t="shared" si="8"/>
        <v>16</v>
      </c>
      <c r="K123">
        <v>4.3</v>
      </c>
      <c r="L123">
        <v>2.4</v>
      </c>
      <c r="M123">
        <v>3.3</v>
      </c>
      <c r="N123">
        <v>3</v>
      </c>
      <c r="O123">
        <v>8.1999999999999993</v>
      </c>
      <c r="P123">
        <v>7.3</v>
      </c>
      <c r="Q123">
        <v>2</v>
      </c>
      <c r="R123">
        <v>0</v>
      </c>
      <c r="S123">
        <v>0</v>
      </c>
      <c r="T123">
        <v>0</v>
      </c>
      <c r="U123">
        <v>-0.2</v>
      </c>
      <c r="V123" t="s">
        <v>8</v>
      </c>
      <c r="W123" t="s">
        <v>8</v>
      </c>
      <c r="X123">
        <v>3.5</v>
      </c>
      <c r="Y123">
        <v>0</v>
      </c>
      <c r="Z123">
        <v>-2</v>
      </c>
      <c r="AA123">
        <v>0</v>
      </c>
      <c r="AB123">
        <v>8.1999999999999993</v>
      </c>
    </row>
    <row r="124" spans="1:28" x14ac:dyDescent="0.25">
      <c r="A124">
        <v>123</v>
      </c>
      <c r="B124" t="s">
        <v>294</v>
      </c>
      <c r="C124" t="s">
        <v>47</v>
      </c>
      <c r="D124" s="6">
        <f t="shared" si="9"/>
        <v>3.1</v>
      </c>
      <c r="E124">
        <v>3.6</v>
      </c>
      <c r="F124">
        <v>39.9</v>
      </c>
      <c r="G124" s="3">
        <f t="shared" si="5"/>
        <v>1</v>
      </c>
      <c r="H124" s="3">
        <f t="shared" si="6"/>
        <v>0</v>
      </c>
      <c r="I124" s="3">
        <f t="shared" si="7"/>
        <v>0</v>
      </c>
      <c r="J124" s="3">
        <f t="shared" si="8"/>
        <v>11</v>
      </c>
      <c r="K124">
        <v>4.7</v>
      </c>
      <c r="L124">
        <v>10.6</v>
      </c>
      <c r="M124">
        <v>1.5</v>
      </c>
      <c r="N124" t="s">
        <v>8</v>
      </c>
      <c r="O124" t="s">
        <v>8</v>
      </c>
      <c r="P124" t="s">
        <v>8</v>
      </c>
      <c r="Q124" t="s">
        <v>7</v>
      </c>
      <c r="R124">
        <v>0</v>
      </c>
      <c r="S124">
        <v>4.8</v>
      </c>
      <c r="T124" t="s">
        <v>8</v>
      </c>
      <c r="U124" t="s">
        <v>8</v>
      </c>
      <c r="V124" t="s">
        <v>8</v>
      </c>
      <c r="W124">
        <v>0</v>
      </c>
      <c r="X124">
        <v>1.6</v>
      </c>
      <c r="Y124">
        <v>9.4</v>
      </c>
      <c r="Z124">
        <v>4.2</v>
      </c>
      <c r="AA124">
        <v>3.1</v>
      </c>
      <c r="AB124">
        <v>0</v>
      </c>
    </row>
    <row r="125" spans="1:28" x14ac:dyDescent="0.25">
      <c r="A125">
        <v>124</v>
      </c>
      <c r="B125" t="s">
        <v>195</v>
      </c>
      <c r="C125" t="s">
        <v>66</v>
      </c>
      <c r="D125" s="6">
        <f t="shared" si="9"/>
        <v>2.1</v>
      </c>
      <c r="E125">
        <v>4.4000000000000004</v>
      </c>
      <c r="F125">
        <v>39.200000000000003</v>
      </c>
      <c r="G125" s="3">
        <f t="shared" si="5"/>
        <v>1</v>
      </c>
      <c r="H125" s="3">
        <f t="shared" si="6"/>
        <v>0</v>
      </c>
      <c r="I125" s="3">
        <f t="shared" si="7"/>
        <v>0</v>
      </c>
      <c r="J125" s="3">
        <f t="shared" si="8"/>
        <v>9</v>
      </c>
      <c r="K125" t="s">
        <v>8</v>
      </c>
      <c r="L125" t="s">
        <v>8</v>
      </c>
      <c r="M125" t="s">
        <v>8</v>
      </c>
      <c r="N125">
        <v>0</v>
      </c>
      <c r="O125" t="s">
        <v>8</v>
      </c>
      <c r="P125" t="s">
        <v>8</v>
      </c>
      <c r="Q125" t="s">
        <v>8</v>
      </c>
      <c r="R125" t="s">
        <v>8</v>
      </c>
      <c r="S125" t="s">
        <v>7</v>
      </c>
      <c r="T125" t="s">
        <v>8</v>
      </c>
      <c r="U125">
        <v>0</v>
      </c>
      <c r="V125">
        <v>0</v>
      </c>
      <c r="W125">
        <v>18.100000000000001</v>
      </c>
      <c r="X125">
        <v>8.6999999999999993</v>
      </c>
      <c r="Y125">
        <v>5.2</v>
      </c>
      <c r="Z125">
        <v>3.9</v>
      </c>
      <c r="AA125">
        <v>1.2</v>
      </c>
      <c r="AB125">
        <v>2.1</v>
      </c>
    </row>
    <row r="126" spans="1:28" x14ac:dyDescent="0.25">
      <c r="A126">
        <v>125</v>
      </c>
      <c r="B126" t="s">
        <v>282</v>
      </c>
      <c r="C126" t="s">
        <v>78</v>
      </c>
      <c r="D126" s="6">
        <f t="shared" si="9"/>
        <v>1.4</v>
      </c>
      <c r="E126">
        <v>2.6</v>
      </c>
      <c r="F126">
        <v>39.1</v>
      </c>
      <c r="G126" s="3">
        <f t="shared" si="5"/>
        <v>0</v>
      </c>
      <c r="H126" s="3">
        <f t="shared" si="6"/>
        <v>0</v>
      </c>
      <c r="I126" s="3">
        <f t="shared" si="7"/>
        <v>0</v>
      </c>
      <c r="J126" s="3">
        <f t="shared" si="8"/>
        <v>15</v>
      </c>
      <c r="K126">
        <v>0</v>
      </c>
      <c r="L126">
        <v>0</v>
      </c>
      <c r="M126" t="s">
        <v>8</v>
      </c>
      <c r="N126" t="s">
        <v>8</v>
      </c>
      <c r="O126">
        <v>3</v>
      </c>
      <c r="P126">
        <v>1.4</v>
      </c>
      <c r="Q126">
        <v>5.6</v>
      </c>
      <c r="R126">
        <v>9.4</v>
      </c>
      <c r="S126">
        <v>0</v>
      </c>
      <c r="T126">
        <v>7.2</v>
      </c>
      <c r="U126" t="s">
        <v>8</v>
      </c>
      <c r="V126">
        <v>1.4</v>
      </c>
      <c r="W126">
        <v>0</v>
      </c>
      <c r="X126">
        <v>0</v>
      </c>
      <c r="Y126">
        <v>0</v>
      </c>
      <c r="Z126">
        <v>2.5</v>
      </c>
      <c r="AA126">
        <v>0</v>
      </c>
      <c r="AB126">
        <v>8.6</v>
      </c>
    </row>
    <row r="127" spans="1:28" x14ac:dyDescent="0.25">
      <c r="A127">
        <v>126</v>
      </c>
      <c r="B127" t="s">
        <v>189</v>
      </c>
      <c r="C127" t="s">
        <v>43</v>
      </c>
      <c r="D127" s="6">
        <f t="shared" si="9"/>
        <v>0.75</v>
      </c>
      <c r="E127">
        <v>2.4</v>
      </c>
      <c r="F127">
        <v>38.4</v>
      </c>
      <c r="G127" s="3">
        <f t="shared" si="5"/>
        <v>1</v>
      </c>
      <c r="H127" s="3">
        <f t="shared" si="6"/>
        <v>0</v>
      </c>
      <c r="I127" s="3">
        <f t="shared" si="7"/>
        <v>0</v>
      </c>
      <c r="J127" s="3">
        <f t="shared" si="8"/>
        <v>16</v>
      </c>
      <c r="K127">
        <v>0</v>
      </c>
      <c r="L127" t="s">
        <v>8</v>
      </c>
      <c r="M127">
        <v>13.8</v>
      </c>
      <c r="N127">
        <v>2.1</v>
      </c>
      <c r="O127">
        <v>0</v>
      </c>
      <c r="P127">
        <v>1.5</v>
      </c>
      <c r="Q127">
        <v>0</v>
      </c>
      <c r="R127">
        <v>1.5</v>
      </c>
      <c r="S127">
        <v>1.8</v>
      </c>
      <c r="T127" t="s">
        <v>8</v>
      </c>
      <c r="U127">
        <v>0</v>
      </c>
      <c r="V127">
        <v>9.9</v>
      </c>
      <c r="W127">
        <v>0</v>
      </c>
      <c r="X127">
        <v>3.8</v>
      </c>
      <c r="Y127">
        <v>0</v>
      </c>
      <c r="Z127">
        <v>0</v>
      </c>
      <c r="AA127">
        <v>0</v>
      </c>
      <c r="AB127">
        <v>4</v>
      </c>
    </row>
    <row r="128" spans="1:28" x14ac:dyDescent="0.25">
      <c r="A128">
        <v>127</v>
      </c>
      <c r="B128" t="s">
        <v>240</v>
      </c>
      <c r="C128" t="s">
        <v>14</v>
      </c>
      <c r="D128" s="6">
        <f t="shared" si="9"/>
        <v>1.5</v>
      </c>
      <c r="E128">
        <v>2.2000000000000002</v>
      </c>
      <c r="F128">
        <v>37.200000000000003</v>
      </c>
      <c r="G128" s="3">
        <f t="shared" si="5"/>
        <v>1</v>
      </c>
      <c r="H128" s="3">
        <f t="shared" si="6"/>
        <v>0</v>
      </c>
      <c r="I128" s="3">
        <f t="shared" si="7"/>
        <v>0</v>
      </c>
      <c r="J128" s="3">
        <f t="shared" si="8"/>
        <v>17</v>
      </c>
      <c r="K128">
        <v>0</v>
      </c>
      <c r="L128">
        <v>0</v>
      </c>
      <c r="M128">
        <v>2.5</v>
      </c>
      <c r="N128">
        <v>3.9</v>
      </c>
      <c r="O128">
        <v>2.1</v>
      </c>
      <c r="P128">
        <v>0</v>
      </c>
      <c r="Q128">
        <v>2.9</v>
      </c>
      <c r="R128">
        <v>10.5</v>
      </c>
      <c r="S128">
        <v>9</v>
      </c>
      <c r="T128">
        <v>0</v>
      </c>
      <c r="U128" t="s">
        <v>7</v>
      </c>
      <c r="V128">
        <v>0</v>
      </c>
      <c r="W128">
        <v>0</v>
      </c>
      <c r="X128">
        <v>2.8</v>
      </c>
      <c r="Y128">
        <v>2</v>
      </c>
      <c r="Z128">
        <v>1.5</v>
      </c>
      <c r="AA128">
        <v>0</v>
      </c>
      <c r="AB128">
        <v>0</v>
      </c>
    </row>
    <row r="129" spans="1:28" x14ac:dyDescent="0.25">
      <c r="A129">
        <v>128</v>
      </c>
      <c r="B129" t="s">
        <v>569</v>
      </c>
      <c r="C129" t="s">
        <v>90</v>
      </c>
      <c r="D129" s="6">
        <f t="shared" si="9"/>
        <v>1.5</v>
      </c>
      <c r="E129">
        <v>3.3</v>
      </c>
      <c r="F129">
        <v>36.4</v>
      </c>
      <c r="G129" s="3">
        <f t="shared" si="5"/>
        <v>1</v>
      </c>
      <c r="H129" s="3">
        <f t="shared" si="6"/>
        <v>0</v>
      </c>
      <c r="I129" s="3">
        <f t="shared" si="7"/>
        <v>0</v>
      </c>
      <c r="J129" s="3">
        <f t="shared" si="8"/>
        <v>11</v>
      </c>
      <c r="K129" t="s">
        <v>8</v>
      </c>
      <c r="L129" t="s">
        <v>8</v>
      </c>
      <c r="M129" t="s">
        <v>8</v>
      </c>
      <c r="N129" t="s">
        <v>8</v>
      </c>
      <c r="O129" t="s">
        <v>8</v>
      </c>
      <c r="P129" t="s">
        <v>8</v>
      </c>
      <c r="Q129">
        <v>1.3</v>
      </c>
      <c r="R129">
        <v>7.8</v>
      </c>
      <c r="S129">
        <v>0</v>
      </c>
      <c r="T129" t="s">
        <v>8</v>
      </c>
      <c r="U129">
        <v>2.5</v>
      </c>
      <c r="V129">
        <v>1</v>
      </c>
      <c r="W129">
        <v>0</v>
      </c>
      <c r="X129">
        <v>0</v>
      </c>
      <c r="Y129">
        <v>1.6</v>
      </c>
      <c r="Z129">
        <v>1.5</v>
      </c>
      <c r="AA129">
        <v>17.399999999999999</v>
      </c>
      <c r="AB129">
        <v>3.3</v>
      </c>
    </row>
    <row r="130" spans="1:28" x14ac:dyDescent="0.25">
      <c r="A130">
        <v>129</v>
      </c>
      <c r="B130" t="s">
        <v>326</v>
      </c>
      <c r="C130" t="s">
        <v>43</v>
      </c>
      <c r="D130" s="6">
        <f t="shared" si="9"/>
        <v>2.1</v>
      </c>
      <c r="E130">
        <v>2.1</v>
      </c>
      <c r="F130">
        <v>35.9</v>
      </c>
      <c r="G130" s="3">
        <f t="shared" ref="G130:G193" si="10">COUNTIFS(K130:AB130,"&gt;=10",K130:AB130,"&lt;=99")</f>
        <v>0</v>
      </c>
      <c r="H130" s="3">
        <f t="shared" ref="H130:H193" si="11">COUNTIFS(K130:AB130,"&gt;=20",K130:AB130,"&lt;=99")</f>
        <v>0</v>
      </c>
      <c r="I130" s="3">
        <f t="shared" ref="I130:I193" si="12">COUNTIFS(K130:AB130,"&gt;=30",K130:AB130,"&lt;=99")</f>
        <v>0</v>
      </c>
      <c r="J130" s="3">
        <f t="shared" ref="J130:J193" si="13">COUNT(K130:AB130)</f>
        <v>17</v>
      </c>
      <c r="K130">
        <v>3.4</v>
      </c>
      <c r="L130">
        <v>0</v>
      </c>
      <c r="M130">
        <v>1.6</v>
      </c>
      <c r="N130">
        <v>1.9</v>
      </c>
      <c r="O130">
        <v>0</v>
      </c>
      <c r="P130">
        <v>3.2</v>
      </c>
      <c r="Q130">
        <v>5.3</v>
      </c>
      <c r="R130">
        <v>2.1</v>
      </c>
      <c r="S130">
        <v>-0.5</v>
      </c>
      <c r="T130">
        <v>4.0999999999999996</v>
      </c>
      <c r="U130">
        <v>-0.6</v>
      </c>
      <c r="V130">
        <v>0</v>
      </c>
      <c r="W130" t="s">
        <v>7</v>
      </c>
      <c r="X130">
        <v>2.1</v>
      </c>
      <c r="Y130">
        <v>7.6</v>
      </c>
      <c r="Z130">
        <v>0</v>
      </c>
      <c r="AA130">
        <v>3.5</v>
      </c>
      <c r="AB130">
        <v>2.2000000000000002</v>
      </c>
    </row>
    <row r="131" spans="1:28" x14ac:dyDescent="0.25">
      <c r="A131">
        <v>129</v>
      </c>
      <c r="B131" t="s">
        <v>250</v>
      </c>
      <c r="C131" t="s">
        <v>90</v>
      </c>
      <c r="D131" s="6">
        <f t="shared" ref="D131:D194" si="14">MEDIAN(K131:AB131)</f>
        <v>0</v>
      </c>
      <c r="E131">
        <v>2.2000000000000002</v>
      </c>
      <c r="F131">
        <v>35.9</v>
      </c>
      <c r="G131" s="3">
        <f t="shared" si="10"/>
        <v>1</v>
      </c>
      <c r="H131" s="3">
        <f t="shared" si="11"/>
        <v>1</v>
      </c>
      <c r="I131" s="3">
        <f t="shared" si="12"/>
        <v>0</v>
      </c>
      <c r="J131" s="3">
        <f t="shared" si="13"/>
        <v>16</v>
      </c>
      <c r="K131">
        <v>0</v>
      </c>
      <c r="L131">
        <v>0</v>
      </c>
      <c r="M131" t="s">
        <v>8</v>
      </c>
      <c r="N131">
        <v>0</v>
      </c>
      <c r="O131">
        <v>4.0999999999999996</v>
      </c>
      <c r="P131">
        <v>0</v>
      </c>
      <c r="Q131">
        <v>0</v>
      </c>
      <c r="R131">
        <v>22.5</v>
      </c>
      <c r="S131">
        <v>6.3</v>
      </c>
      <c r="T131">
        <v>0</v>
      </c>
      <c r="U131">
        <v>3.2</v>
      </c>
      <c r="V131">
        <v>0</v>
      </c>
      <c r="W131">
        <v>0</v>
      </c>
      <c r="X131" t="s">
        <v>8</v>
      </c>
      <c r="Y131">
        <v>0</v>
      </c>
      <c r="Z131">
        <v>-2</v>
      </c>
      <c r="AA131">
        <v>0</v>
      </c>
      <c r="AB131">
        <v>1.8</v>
      </c>
    </row>
    <row r="132" spans="1:28" x14ac:dyDescent="0.25">
      <c r="A132">
        <v>131</v>
      </c>
      <c r="B132" t="s">
        <v>233</v>
      </c>
      <c r="C132" t="s">
        <v>45</v>
      </c>
      <c r="D132" s="6">
        <f t="shared" si="14"/>
        <v>1.3</v>
      </c>
      <c r="E132">
        <v>2.1</v>
      </c>
      <c r="F132">
        <v>35.700000000000003</v>
      </c>
      <c r="G132" s="3">
        <f t="shared" si="10"/>
        <v>0</v>
      </c>
      <c r="H132" s="3">
        <f t="shared" si="11"/>
        <v>0</v>
      </c>
      <c r="I132" s="3">
        <f t="shared" si="12"/>
        <v>0</v>
      </c>
      <c r="J132" s="3">
        <f t="shared" si="13"/>
        <v>17</v>
      </c>
      <c r="K132">
        <v>1.5</v>
      </c>
      <c r="L132">
        <v>1</v>
      </c>
      <c r="M132">
        <v>1.3</v>
      </c>
      <c r="N132">
        <v>8.6999999999999993</v>
      </c>
      <c r="O132" t="s">
        <v>7</v>
      </c>
      <c r="P132">
        <v>0</v>
      </c>
      <c r="Q132">
        <v>3.4</v>
      </c>
      <c r="R132">
        <v>2.4</v>
      </c>
      <c r="S132">
        <v>7</v>
      </c>
      <c r="T132">
        <v>2.7</v>
      </c>
      <c r="U132">
        <v>0.7</v>
      </c>
      <c r="V132">
        <v>1.1000000000000001</v>
      </c>
      <c r="W132">
        <v>0</v>
      </c>
      <c r="X132">
        <v>0</v>
      </c>
      <c r="Y132">
        <v>-1.2</v>
      </c>
      <c r="Z132">
        <v>2.4</v>
      </c>
      <c r="AA132">
        <v>0.2</v>
      </c>
      <c r="AB132">
        <v>4.5</v>
      </c>
    </row>
    <row r="133" spans="1:28" x14ac:dyDescent="0.25">
      <c r="A133">
        <v>132</v>
      </c>
      <c r="B133" t="s">
        <v>570</v>
      </c>
      <c r="C133" t="s">
        <v>28</v>
      </c>
      <c r="D133" s="6">
        <f t="shared" si="14"/>
        <v>1.2</v>
      </c>
      <c r="E133">
        <v>4.4000000000000004</v>
      </c>
      <c r="F133">
        <v>35.200000000000003</v>
      </c>
      <c r="G133" s="3">
        <f t="shared" si="10"/>
        <v>1</v>
      </c>
      <c r="H133" s="3">
        <f t="shared" si="11"/>
        <v>1</v>
      </c>
      <c r="I133" s="3">
        <f t="shared" si="12"/>
        <v>0</v>
      </c>
      <c r="J133" s="3">
        <f t="shared" si="13"/>
        <v>8</v>
      </c>
      <c r="K133">
        <v>3.7</v>
      </c>
      <c r="L133" t="s">
        <v>8</v>
      </c>
      <c r="M133" t="s">
        <v>8</v>
      </c>
      <c r="N133" t="s">
        <v>8</v>
      </c>
      <c r="O133">
        <v>2.4</v>
      </c>
      <c r="P133" t="s">
        <v>8</v>
      </c>
      <c r="Q133" t="s">
        <v>8</v>
      </c>
      <c r="R133" t="s">
        <v>8</v>
      </c>
      <c r="S133" t="s">
        <v>8</v>
      </c>
      <c r="T133" t="s">
        <v>8</v>
      </c>
      <c r="U133" t="s">
        <v>8</v>
      </c>
      <c r="V133">
        <v>0</v>
      </c>
      <c r="W133">
        <v>5.8</v>
      </c>
      <c r="X133">
        <v>0</v>
      </c>
      <c r="Y133">
        <v>0</v>
      </c>
      <c r="Z133">
        <v>0</v>
      </c>
      <c r="AA133" t="s">
        <v>8</v>
      </c>
      <c r="AB133">
        <v>23.3</v>
      </c>
    </row>
    <row r="134" spans="1:28" x14ac:dyDescent="0.25">
      <c r="A134">
        <v>133</v>
      </c>
      <c r="B134" t="s">
        <v>214</v>
      </c>
      <c r="C134" t="s">
        <v>66</v>
      </c>
      <c r="D134" s="6">
        <f t="shared" si="14"/>
        <v>0</v>
      </c>
      <c r="E134">
        <v>2.1</v>
      </c>
      <c r="F134">
        <v>35</v>
      </c>
      <c r="G134" s="3">
        <f t="shared" si="10"/>
        <v>1</v>
      </c>
      <c r="H134" s="3">
        <f t="shared" si="11"/>
        <v>0</v>
      </c>
      <c r="I134" s="3">
        <f t="shared" si="12"/>
        <v>0</v>
      </c>
      <c r="J134" s="3">
        <f t="shared" si="13"/>
        <v>17</v>
      </c>
      <c r="K134">
        <v>0</v>
      </c>
      <c r="L134">
        <v>5.5</v>
      </c>
      <c r="M134">
        <v>0</v>
      </c>
      <c r="N134">
        <v>7.1</v>
      </c>
      <c r="O134">
        <v>2.1</v>
      </c>
      <c r="P134">
        <v>0</v>
      </c>
      <c r="Q134">
        <v>0</v>
      </c>
      <c r="R134">
        <v>0</v>
      </c>
      <c r="S134">
        <v>5.3</v>
      </c>
      <c r="T134">
        <v>12.1</v>
      </c>
      <c r="U134">
        <v>1.7</v>
      </c>
      <c r="V134">
        <v>0</v>
      </c>
      <c r="W134">
        <v>1</v>
      </c>
      <c r="X134" t="s">
        <v>8</v>
      </c>
      <c r="Y134">
        <v>0</v>
      </c>
      <c r="Z134">
        <v>0</v>
      </c>
      <c r="AA134">
        <v>0</v>
      </c>
      <c r="AB134">
        <v>0.2</v>
      </c>
    </row>
    <row r="135" spans="1:28" x14ac:dyDescent="0.25">
      <c r="A135">
        <v>134</v>
      </c>
      <c r="B135" t="s">
        <v>299</v>
      </c>
      <c r="C135" t="s">
        <v>90</v>
      </c>
      <c r="D135" s="6">
        <f t="shared" si="14"/>
        <v>1.1000000000000001</v>
      </c>
      <c r="E135">
        <v>2.1</v>
      </c>
      <c r="F135">
        <v>34.9</v>
      </c>
      <c r="G135" s="3">
        <f t="shared" si="10"/>
        <v>1</v>
      </c>
      <c r="H135" s="3">
        <f t="shared" si="11"/>
        <v>0</v>
      </c>
      <c r="I135" s="3">
        <f t="shared" si="12"/>
        <v>0</v>
      </c>
      <c r="J135" s="3">
        <f t="shared" si="13"/>
        <v>17</v>
      </c>
      <c r="K135">
        <v>3</v>
      </c>
      <c r="L135">
        <v>1.1000000000000001</v>
      </c>
      <c r="M135">
        <v>2.6</v>
      </c>
      <c r="N135">
        <v>15.6</v>
      </c>
      <c r="O135" t="s">
        <v>8</v>
      </c>
      <c r="P135">
        <v>2.2999999999999998</v>
      </c>
      <c r="Q135">
        <v>2.4</v>
      </c>
      <c r="R135">
        <v>0</v>
      </c>
      <c r="S135">
        <v>0</v>
      </c>
      <c r="T135">
        <v>2.1</v>
      </c>
      <c r="U135">
        <v>1.7</v>
      </c>
      <c r="V135">
        <v>0</v>
      </c>
      <c r="W135">
        <v>2.1</v>
      </c>
      <c r="X135">
        <v>0</v>
      </c>
      <c r="Y135">
        <v>-0.1</v>
      </c>
      <c r="Z135">
        <v>0</v>
      </c>
      <c r="AA135">
        <v>1</v>
      </c>
      <c r="AB135">
        <v>1.1000000000000001</v>
      </c>
    </row>
    <row r="136" spans="1:28" x14ac:dyDescent="0.25">
      <c r="A136">
        <v>135</v>
      </c>
      <c r="B136" t="s">
        <v>243</v>
      </c>
      <c r="C136" t="s">
        <v>16</v>
      </c>
      <c r="D136" s="6">
        <f t="shared" si="14"/>
        <v>1.7</v>
      </c>
      <c r="E136">
        <v>2.6</v>
      </c>
      <c r="F136">
        <v>33.5</v>
      </c>
      <c r="G136" s="3">
        <f t="shared" si="10"/>
        <v>0</v>
      </c>
      <c r="H136" s="3">
        <f t="shared" si="11"/>
        <v>0</v>
      </c>
      <c r="I136" s="3">
        <f t="shared" si="12"/>
        <v>0</v>
      </c>
      <c r="J136" s="3">
        <f t="shared" si="13"/>
        <v>13</v>
      </c>
      <c r="K136">
        <v>0</v>
      </c>
      <c r="L136">
        <v>0</v>
      </c>
      <c r="M136">
        <v>0</v>
      </c>
      <c r="N136" t="s">
        <v>8</v>
      </c>
      <c r="O136" t="s">
        <v>8</v>
      </c>
      <c r="P136" t="s">
        <v>7</v>
      </c>
      <c r="Q136" t="s">
        <v>8</v>
      </c>
      <c r="R136" t="s">
        <v>8</v>
      </c>
      <c r="S136">
        <v>0</v>
      </c>
      <c r="T136">
        <v>0</v>
      </c>
      <c r="U136">
        <v>1.7</v>
      </c>
      <c r="V136">
        <v>8.6</v>
      </c>
      <c r="W136">
        <v>2.5</v>
      </c>
      <c r="X136">
        <v>7.6</v>
      </c>
      <c r="Y136">
        <v>5.9</v>
      </c>
      <c r="Z136">
        <v>1</v>
      </c>
      <c r="AA136">
        <v>2.2999999999999998</v>
      </c>
      <c r="AB136">
        <v>3.9</v>
      </c>
    </row>
    <row r="137" spans="1:28" x14ac:dyDescent="0.25">
      <c r="A137">
        <v>136</v>
      </c>
      <c r="B137" t="s">
        <v>292</v>
      </c>
      <c r="C137" t="s">
        <v>6</v>
      </c>
      <c r="D137" s="6">
        <f t="shared" si="14"/>
        <v>2</v>
      </c>
      <c r="E137">
        <v>4.0999999999999996</v>
      </c>
      <c r="F137">
        <v>32.9</v>
      </c>
      <c r="G137" s="3">
        <f t="shared" si="10"/>
        <v>1</v>
      </c>
      <c r="H137" s="3">
        <f t="shared" si="11"/>
        <v>0</v>
      </c>
      <c r="I137" s="3">
        <f t="shared" si="12"/>
        <v>0</v>
      </c>
      <c r="J137" s="3">
        <f t="shared" si="13"/>
        <v>8</v>
      </c>
      <c r="K137">
        <v>4.3</v>
      </c>
      <c r="L137" t="s">
        <v>8</v>
      </c>
      <c r="M137">
        <v>8.5</v>
      </c>
      <c r="N137">
        <v>14.6</v>
      </c>
      <c r="O137" t="s">
        <v>8</v>
      </c>
      <c r="P137">
        <v>0</v>
      </c>
      <c r="Q137" t="s">
        <v>8</v>
      </c>
      <c r="R137">
        <v>1.9</v>
      </c>
      <c r="S137">
        <v>0</v>
      </c>
      <c r="T137">
        <v>2.1</v>
      </c>
      <c r="U137" t="s">
        <v>8</v>
      </c>
      <c r="V137" t="s">
        <v>8</v>
      </c>
      <c r="W137" t="s">
        <v>8</v>
      </c>
      <c r="X137" t="s">
        <v>8</v>
      </c>
      <c r="Y137" t="s">
        <v>8</v>
      </c>
      <c r="Z137" t="s">
        <v>8</v>
      </c>
      <c r="AA137" t="s">
        <v>8</v>
      </c>
      <c r="AB137">
        <v>1.5</v>
      </c>
    </row>
    <row r="138" spans="1:28" x14ac:dyDescent="0.25">
      <c r="A138">
        <v>137</v>
      </c>
      <c r="B138" t="s">
        <v>289</v>
      </c>
      <c r="C138" t="s">
        <v>55</v>
      </c>
      <c r="D138" s="6">
        <f t="shared" si="14"/>
        <v>0</v>
      </c>
      <c r="E138">
        <v>1.9</v>
      </c>
      <c r="F138">
        <v>32.5</v>
      </c>
      <c r="G138" s="3">
        <f t="shared" si="10"/>
        <v>1</v>
      </c>
      <c r="H138" s="3">
        <f t="shared" si="11"/>
        <v>0</v>
      </c>
      <c r="I138" s="3">
        <f t="shared" si="12"/>
        <v>0</v>
      </c>
      <c r="J138" s="3">
        <f t="shared" si="13"/>
        <v>17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8</v>
      </c>
      <c r="R138">
        <v>0</v>
      </c>
      <c r="S138">
        <v>0</v>
      </c>
      <c r="T138">
        <v>6</v>
      </c>
      <c r="U138">
        <v>0</v>
      </c>
      <c r="V138">
        <v>2.4</v>
      </c>
      <c r="W138">
        <v>0</v>
      </c>
      <c r="X138">
        <v>1</v>
      </c>
      <c r="Y138">
        <v>5.2</v>
      </c>
      <c r="Z138">
        <v>12.1</v>
      </c>
      <c r="AA138">
        <v>4.2</v>
      </c>
      <c r="AB138">
        <v>1.6</v>
      </c>
    </row>
    <row r="139" spans="1:28" x14ac:dyDescent="0.25">
      <c r="A139">
        <v>138</v>
      </c>
      <c r="B139" t="s">
        <v>226</v>
      </c>
      <c r="C139" t="s">
        <v>32</v>
      </c>
      <c r="D139" s="6">
        <f t="shared" si="14"/>
        <v>2.0499999999999998</v>
      </c>
      <c r="E139">
        <v>2</v>
      </c>
      <c r="F139">
        <v>32.200000000000003</v>
      </c>
      <c r="G139" s="3">
        <f t="shared" si="10"/>
        <v>0</v>
      </c>
      <c r="H139" s="3">
        <f t="shared" si="11"/>
        <v>0</v>
      </c>
      <c r="I139" s="3">
        <f t="shared" si="12"/>
        <v>0</v>
      </c>
      <c r="J139" s="3">
        <f t="shared" si="13"/>
        <v>16</v>
      </c>
      <c r="K139" t="s">
        <v>8</v>
      </c>
      <c r="L139">
        <v>2.7</v>
      </c>
      <c r="M139">
        <v>3.3</v>
      </c>
      <c r="N139">
        <v>3.2</v>
      </c>
      <c r="O139">
        <v>4</v>
      </c>
      <c r="P139">
        <v>0</v>
      </c>
      <c r="Q139" t="s">
        <v>7</v>
      </c>
      <c r="R139">
        <v>0</v>
      </c>
      <c r="S139">
        <v>2.4</v>
      </c>
      <c r="T139">
        <v>4.5</v>
      </c>
      <c r="U139">
        <v>2.2000000000000002</v>
      </c>
      <c r="V139">
        <v>1.6</v>
      </c>
      <c r="W139">
        <v>1.9</v>
      </c>
      <c r="X139">
        <v>1.6</v>
      </c>
      <c r="Y139">
        <v>1.1000000000000001</v>
      </c>
      <c r="Z139">
        <v>0</v>
      </c>
      <c r="AA139">
        <v>2.2000000000000002</v>
      </c>
      <c r="AB139">
        <v>1.5</v>
      </c>
    </row>
    <row r="140" spans="1:28" x14ac:dyDescent="0.25">
      <c r="A140">
        <v>139</v>
      </c>
      <c r="B140" t="s">
        <v>571</v>
      </c>
      <c r="C140" t="s">
        <v>90</v>
      </c>
      <c r="D140" s="6">
        <f t="shared" si="14"/>
        <v>2</v>
      </c>
      <c r="E140">
        <v>3.5</v>
      </c>
      <c r="F140">
        <v>31.1</v>
      </c>
      <c r="G140" s="3">
        <f t="shared" si="10"/>
        <v>1</v>
      </c>
      <c r="H140" s="3">
        <f t="shared" si="11"/>
        <v>0</v>
      </c>
      <c r="I140" s="3">
        <f t="shared" si="12"/>
        <v>0</v>
      </c>
      <c r="J140" s="3">
        <f t="shared" si="13"/>
        <v>9</v>
      </c>
      <c r="K140" t="s">
        <v>8</v>
      </c>
      <c r="L140" t="s">
        <v>8</v>
      </c>
      <c r="M140" t="s">
        <v>8</v>
      </c>
      <c r="N140" t="s">
        <v>8</v>
      </c>
      <c r="O140">
        <v>0</v>
      </c>
      <c r="P140">
        <v>-0.4</v>
      </c>
      <c r="Q140" t="s">
        <v>8</v>
      </c>
      <c r="R140">
        <v>5.4</v>
      </c>
      <c r="S140">
        <v>10.8</v>
      </c>
      <c r="T140">
        <v>9.1</v>
      </c>
      <c r="U140">
        <v>2</v>
      </c>
      <c r="V140">
        <v>0.7</v>
      </c>
      <c r="W140" t="s">
        <v>8</v>
      </c>
      <c r="X140">
        <v>0</v>
      </c>
      <c r="Y140" t="s">
        <v>8</v>
      </c>
      <c r="Z140" t="s">
        <v>8</v>
      </c>
      <c r="AA140" t="s">
        <v>8</v>
      </c>
      <c r="AB140">
        <v>3.5</v>
      </c>
    </row>
    <row r="141" spans="1:28" x14ac:dyDescent="0.25">
      <c r="A141">
        <v>140</v>
      </c>
      <c r="B141" t="s">
        <v>305</v>
      </c>
      <c r="C141" t="s">
        <v>10</v>
      </c>
      <c r="D141" s="6">
        <f t="shared" si="14"/>
        <v>0</v>
      </c>
      <c r="E141">
        <v>1.9</v>
      </c>
      <c r="F141">
        <v>30.8</v>
      </c>
      <c r="G141" s="3">
        <f t="shared" si="10"/>
        <v>1</v>
      </c>
      <c r="H141" s="3">
        <f t="shared" si="11"/>
        <v>0</v>
      </c>
      <c r="I141" s="3">
        <f t="shared" si="12"/>
        <v>0</v>
      </c>
      <c r="J141" s="3">
        <f t="shared" si="13"/>
        <v>16</v>
      </c>
      <c r="K141">
        <v>0</v>
      </c>
      <c r="L141">
        <v>0</v>
      </c>
      <c r="M141">
        <v>10.4</v>
      </c>
      <c r="N141">
        <v>1.7</v>
      </c>
      <c r="O141">
        <v>0</v>
      </c>
      <c r="P141">
        <v>0</v>
      </c>
      <c r="Q141" t="s">
        <v>8</v>
      </c>
      <c r="R141">
        <v>0</v>
      </c>
      <c r="S141" t="s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8.1999999999999993</v>
      </c>
      <c r="AA141">
        <v>0</v>
      </c>
      <c r="AB141">
        <v>7.5</v>
      </c>
    </row>
    <row r="142" spans="1:28" x14ac:dyDescent="0.25">
      <c r="A142">
        <v>141</v>
      </c>
      <c r="B142" t="s">
        <v>269</v>
      </c>
      <c r="C142" t="s">
        <v>64</v>
      </c>
      <c r="D142" s="6">
        <f t="shared" si="14"/>
        <v>1.4</v>
      </c>
      <c r="E142">
        <v>2.5</v>
      </c>
      <c r="F142">
        <v>30.4</v>
      </c>
      <c r="G142" s="3">
        <f t="shared" si="10"/>
        <v>0</v>
      </c>
      <c r="H142" s="3">
        <f t="shared" si="11"/>
        <v>0</v>
      </c>
      <c r="I142" s="3">
        <f t="shared" si="12"/>
        <v>0</v>
      </c>
      <c r="J142" s="3">
        <f t="shared" si="13"/>
        <v>12</v>
      </c>
      <c r="K142">
        <v>1.2</v>
      </c>
      <c r="L142">
        <v>6.1</v>
      </c>
      <c r="M142">
        <v>8.4</v>
      </c>
      <c r="N142">
        <v>4.5</v>
      </c>
      <c r="O142">
        <v>4.3</v>
      </c>
      <c r="P142">
        <v>0</v>
      </c>
      <c r="Q142">
        <v>0</v>
      </c>
      <c r="R142">
        <v>0</v>
      </c>
      <c r="S142">
        <v>3.5</v>
      </c>
      <c r="T142">
        <v>1.6</v>
      </c>
      <c r="U142">
        <v>0</v>
      </c>
      <c r="V142">
        <v>0.8</v>
      </c>
      <c r="W142" t="s">
        <v>8</v>
      </c>
      <c r="X142" t="s">
        <v>8</v>
      </c>
      <c r="Y142" t="s">
        <v>8</v>
      </c>
      <c r="Z142" t="s">
        <v>8</v>
      </c>
      <c r="AA142" t="s">
        <v>8</v>
      </c>
      <c r="AB142" t="s">
        <v>8</v>
      </c>
    </row>
    <row r="143" spans="1:28" x14ac:dyDescent="0.25">
      <c r="A143">
        <v>142</v>
      </c>
      <c r="B143" t="s">
        <v>171</v>
      </c>
      <c r="C143" t="s">
        <v>14</v>
      </c>
      <c r="D143" s="6">
        <f t="shared" si="14"/>
        <v>2.2000000000000002</v>
      </c>
      <c r="E143">
        <v>2.4</v>
      </c>
      <c r="F143">
        <v>28.5</v>
      </c>
      <c r="G143" s="3">
        <f t="shared" si="10"/>
        <v>0</v>
      </c>
      <c r="H143" s="3">
        <f t="shared" si="11"/>
        <v>0</v>
      </c>
      <c r="I143" s="3">
        <f t="shared" si="12"/>
        <v>0</v>
      </c>
      <c r="J143" s="3">
        <f t="shared" si="13"/>
        <v>12</v>
      </c>
      <c r="K143">
        <v>0</v>
      </c>
      <c r="L143">
        <v>0</v>
      </c>
      <c r="M143">
        <v>0</v>
      </c>
      <c r="N143">
        <v>4.2</v>
      </c>
      <c r="O143">
        <v>1.1000000000000001</v>
      </c>
      <c r="P143">
        <v>3.7</v>
      </c>
      <c r="Q143">
        <v>4</v>
      </c>
      <c r="R143">
        <v>6.3</v>
      </c>
      <c r="S143" t="s">
        <v>8</v>
      </c>
      <c r="T143">
        <v>0</v>
      </c>
      <c r="U143">
        <v>0</v>
      </c>
      <c r="V143">
        <v>3.3</v>
      </c>
      <c r="W143" t="s">
        <v>8</v>
      </c>
      <c r="X143" t="s">
        <v>8</v>
      </c>
      <c r="Y143" t="s">
        <v>8</v>
      </c>
      <c r="Z143" t="s">
        <v>8</v>
      </c>
      <c r="AA143" t="s">
        <v>8</v>
      </c>
      <c r="AB143">
        <v>5.9</v>
      </c>
    </row>
    <row r="144" spans="1:28" x14ac:dyDescent="0.25">
      <c r="A144">
        <v>142</v>
      </c>
      <c r="B144" t="s">
        <v>272</v>
      </c>
      <c r="C144" t="s">
        <v>45</v>
      </c>
      <c r="D144" s="6">
        <f t="shared" si="14"/>
        <v>2.1</v>
      </c>
      <c r="E144">
        <v>2.6</v>
      </c>
      <c r="F144">
        <v>28.5</v>
      </c>
      <c r="G144" s="3">
        <f t="shared" si="10"/>
        <v>1</v>
      </c>
      <c r="H144" s="3">
        <f t="shared" si="11"/>
        <v>0</v>
      </c>
      <c r="I144" s="3">
        <f t="shared" si="12"/>
        <v>0</v>
      </c>
      <c r="J144" s="3">
        <f t="shared" si="13"/>
        <v>11</v>
      </c>
      <c r="K144" t="s">
        <v>8</v>
      </c>
      <c r="L144" t="s">
        <v>8</v>
      </c>
      <c r="M144" t="s">
        <v>8</v>
      </c>
      <c r="N144" t="s">
        <v>8</v>
      </c>
      <c r="O144" t="s">
        <v>7</v>
      </c>
      <c r="P144">
        <v>0</v>
      </c>
      <c r="Q144">
        <v>2.1</v>
      </c>
      <c r="R144">
        <v>0</v>
      </c>
      <c r="S144">
        <v>2.1</v>
      </c>
      <c r="T144">
        <v>0</v>
      </c>
      <c r="U144" t="s">
        <v>8</v>
      </c>
      <c r="V144" t="s">
        <v>8</v>
      </c>
      <c r="W144">
        <v>2.1</v>
      </c>
      <c r="X144">
        <v>0</v>
      </c>
      <c r="Y144">
        <v>0</v>
      </c>
      <c r="Z144">
        <v>5.3</v>
      </c>
      <c r="AA144">
        <v>10.9</v>
      </c>
      <c r="AB144">
        <v>6</v>
      </c>
    </row>
    <row r="145" spans="1:28" x14ac:dyDescent="0.25">
      <c r="A145">
        <v>142</v>
      </c>
      <c r="B145" t="s">
        <v>572</v>
      </c>
      <c r="C145" t="s">
        <v>26</v>
      </c>
      <c r="D145" s="6">
        <f t="shared" si="14"/>
        <v>1.7</v>
      </c>
      <c r="E145">
        <v>1.9</v>
      </c>
      <c r="F145">
        <v>28.5</v>
      </c>
      <c r="G145" s="3">
        <f t="shared" si="10"/>
        <v>0</v>
      </c>
      <c r="H145" s="3">
        <f t="shared" si="11"/>
        <v>0</v>
      </c>
      <c r="I145" s="3">
        <f t="shared" si="12"/>
        <v>0</v>
      </c>
      <c r="J145" s="3">
        <f t="shared" si="13"/>
        <v>15</v>
      </c>
      <c r="K145">
        <v>2.2000000000000002</v>
      </c>
      <c r="L145">
        <v>1.7</v>
      </c>
      <c r="M145">
        <v>7.9</v>
      </c>
      <c r="N145">
        <v>1.7</v>
      </c>
      <c r="O145" t="s">
        <v>8</v>
      </c>
      <c r="P145">
        <v>0</v>
      </c>
      <c r="Q145">
        <v>4.2</v>
      </c>
      <c r="R145">
        <v>0</v>
      </c>
      <c r="S145" t="s">
        <v>8</v>
      </c>
      <c r="T145" t="s">
        <v>8</v>
      </c>
      <c r="U145">
        <v>0</v>
      </c>
      <c r="V145">
        <v>0</v>
      </c>
      <c r="W145">
        <v>0</v>
      </c>
      <c r="X145">
        <v>2.7</v>
      </c>
      <c r="Y145">
        <v>1.5</v>
      </c>
      <c r="Z145">
        <v>2.1</v>
      </c>
      <c r="AA145">
        <v>0</v>
      </c>
      <c r="AB145">
        <v>4.5</v>
      </c>
    </row>
    <row r="146" spans="1:28" x14ac:dyDescent="0.25">
      <c r="A146">
        <v>145</v>
      </c>
      <c r="B146" t="s">
        <v>573</v>
      </c>
      <c r="C146" t="s">
        <v>90</v>
      </c>
      <c r="D146" s="6">
        <f t="shared" si="14"/>
        <v>1.5</v>
      </c>
      <c r="E146">
        <v>1.9</v>
      </c>
      <c r="F146">
        <v>28.1</v>
      </c>
      <c r="G146" s="3">
        <f t="shared" si="10"/>
        <v>0</v>
      </c>
      <c r="H146" s="3">
        <f t="shared" si="11"/>
        <v>0</v>
      </c>
      <c r="I146" s="3">
        <f t="shared" si="12"/>
        <v>0</v>
      </c>
      <c r="J146" s="3">
        <f t="shared" si="13"/>
        <v>15</v>
      </c>
      <c r="K146" t="s">
        <v>8</v>
      </c>
      <c r="L146">
        <v>1.4</v>
      </c>
      <c r="M146" t="s">
        <v>8</v>
      </c>
      <c r="N146">
        <v>2.5</v>
      </c>
      <c r="O146">
        <v>2</v>
      </c>
      <c r="P146">
        <v>0</v>
      </c>
      <c r="Q146">
        <v>2.6</v>
      </c>
      <c r="R146">
        <v>0</v>
      </c>
      <c r="S146">
        <v>8.5</v>
      </c>
      <c r="T146">
        <v>1.7</v>
      </c>
      <c r="U146">
        <v>3.2</v>
      </c>
      <c r="V146">
        <v>4.7</v>
      </c>
      <c r="W146">
        <v>0</v>
      </c>
      <c r="X146" t="s">
        <v>8</v>
      </c>
      <c r="Y146">
        <v>1.5</v>
      </c>
      <c r="Z146">
        <v>0</v>
      </c>
      <c r="AA146">
        <v>0</v>
      </c>
      <c r="AB146">
        <v>0</v>
      </c>
    </row>
    <row r="147" spans="1:28" x14ac:dyDescent="0.25">
      <c r="A147">
        <v>146</v>
      </c>
      <c r="B147" t="s">
        <v>288</v>
      </c>
      <c r="C147" t="s">
        <v>62</v>
      </c>
      <c r="D147" s="6">
        <f t="shared" si="14"/>
        <v>3</v>
      </c>
      <c r="E147">
        <v>3</v>
      </c>
      <c r="F147">
        <v>27.2</v>
      </c>
      <c r="G147" s="3">
        <f t="shared" si="10"/>
        <v>0</v>
      </c>
      <c r="H147" s="3">
        <f t="shared" si="11"/>
        <v>0</v>
      </c>
      <c r="I147" s="3">
        <f t="shared" si="12"/>
        <v>0</v>
      </c>
      <c r="J147" s="3">
        <f t="shared" si="13"/>
        <v>9</v>
      </c>
      <c r="K147" t="s">
        <v>8</v>
      </c>
      <c r="L147" t="s">
        <v>8</v>
      </c>
      <c r="M147" t="s">
        <v>8</v>
      </c>
      <c r="N147" t="s">
        <v>8</v>
      </c>
      <c r="O147" t="s">
        <v>8</v>
      </c>
      <c r="P147">
        <v>1.6</v>
      </c>
      <c r="Q147">
        <v>1.2</v>
      </c>
      <c r="R147" t="s">
        <v>8</v>
      </c>
      <c r="S147">
        <v>1.7</v>
      </c>
      <c r="T147" t="s">
        <v>7</v>
      </c>
      <c r="U147" t="s">
        <v>8</v>
      </c>
      <c r="V147">
        <v>4.2</v>
      </c>
      <c r="W147">
        <v>3.9</v>
      </c>
      <c r="X147">
        <v>4.7</v>
      </c>
      <c r="Y147">
        <v>1.5</v>
      </c>
      <c r="Z147">
        <v>3</v>
      </c>
      <c r="AA147">
        <v>5.4</v>
      </c>
      <c r="AB147" t="s">
        <v>8</v>
      </c>
    </row>
    <row r="148" spans="1:28" x14ac:dyDescent="0.25">
      <c r="A148">
        <v>147</v>
      </c>
      <c r="B148" t="s">
        <v>277</v>
      </c>
      <c r="C148" t="s">
        <v>90</v>
      </c>
      <c r="D148" s="6">
        <f t="shared" si="14"/>
        <v>1.1499999999999999</v>
      </c>
      <c r="E148">
        <v>2.7</v>
      </c>
      <c r="F148">
        <v>27.1</v>
      </c>
      <c r="G148" s="3">
        <f t="shared" si="10"/>
        <v>1</v>
      </c>
      <c r="H148" s="3">
        <f t="shared" si="11"/>
        <v>0</v>
      </c>
      <c r="I148" s="3">
        <f t="shared" si="12"/>
        <v>0</v>
      </c>
      <c r="J148" s="3">
        <f t="shared" si="13"/>
        <v>10</v>
      </c>
      <c r="K148">
        <v>13</v>
      </c>
      <c r="L148">
        <v>5.4</v>
      </c>
      <c r="M148">
        <v>2.2999999999999998</v>
      </c>
      <c r="N148" t="s">
        <v>8</v>
      </c>
      <c r="O148" t="s">
        <v>8</v>
      </c>
      <c r="P148" t="s">
        <v>8</v>
      </c>
      <c r="Q148" t="s">
        <v>8</v>
      </c>
      <c r="R148" t="s">
        <v>8</v>
      </c>
      <c r="S148" t="s">
        <v>8</v>
      </c>
      <c r="T148" t="s">
        <v>8</v>
      </c>
      <c r="U148">
        <v>0</v>
      </c>
      <c r="V148">
        <v>0</v>
      </c>
      <c r="W148">
        <v>3.6</v>
      </c>
      <c r="X148">
        <v>0</v>
      </c>
      <c r="Y148">
        <v>0</v>
      </c>
      <c r="Z148" t="s">
        <v>8</v>
      </c>
      <c r="AA148">
        <v>0</v>
      </c>
      <c r="AB148">
        <v>2.8</v>
      </c>
    </row>
    <row r="149" spans="1:28" x14ac:dyDescent="0.25">
      <c r="A149">
        <v>148</v>
      </c>
      <c r="B149" t="s">
        <v>242</v>
      </c>
      <c r="C149" t="s">
        <v>16</v>
      </c>
      <c r="D149" s="6">
        <f t="shared" si="14"/>
        <v>1.6</v>
      </c>
      <c r="E149">
        <v>3.2</v>
      </c>
      <c r="F149">
        <v>25.7</v>
      </c>
      <c r="G149" s="3">
        <f t="shared" si="10"/>
        <v>1</v>
      </c>
      <c r="H149" s="3">
        <f t="shared" si="11"/>
        <v>0</v>
      </c>
      <c r="I149" s="3">
        <f t="shared" si="12"/>
        <v>0</v>
      </c>
      <c r="J149" s="3">
        <f t="shared" si="13"/>
        <v>8</v>
      </c>
      <c r="K149" t="s">
        <v>8</v>
      </c>
      <c r="L149">
        <v>1.6</v>
      </c>
      <c r="M149" t="s">
        <v>8</v>
      </c>
      <c r="N149" t="s">
        <v>8</v>
      </c>
      <c r="O149" t="s">
        <v>8</v>
      </c>
      <c r="P149">
        <v>0</v>
      </c>
      <c r="Q149">
        <v>1.6</v>
      </c>
      <c r="R149">
        <v>1.6</v>
      </c>
      <c r="S149">
        <v>4</v>
      </c>
      <c r="T149" t="s">
        <v>8</v>
      </c>
      <c r="U149">
        <v>3.2</v>
      </c>
      <c r="V149" t="s">
        <v>8</v>
      </c>
      <c r="W149" t="s">
        <v>8</v>
      </c>
      <c r="X149" t="s">
        <v>8</v>
      </c>
      <c r="Y149" t="s">
        <v>8</v>
      </c>
      <c r="Z149" t="s">
        <v>8</v>
      </c>
      <c r="AA149">
        <v>0</v>
      </c>
      <c r="AB149">
        <v>13.7</v>
      </c>
    </row>
    <row r="150" spans="1:28" x14ac:dyDescent="0.25">
      <c r="A150">
        <v>149</v>
      </c>
      <c r="B150" t="s">
        <v>253</v>
      </c>
      <c r="C150" t="s">
        <v>50</v>
      </c>
      <c r="D150" s="6">
        <f t="shared" si="14"/>
        <v>0</v>
      </c>
      <c r="E150">
        <v>1.7</v>
      </c>
      <c r="F150">
        <v>25.6</v>
      </c>
      <c r="G150" s="3">
        <f t="shared" si="10"/>
        <v>1</v>
      </c>
      <c r="H150" s="3">
        <f t="shared" si="11"/>
        <v>0</v>
      </c>
      <c r="I150" s="3">
        <f t="shared" si="12"/>
        <v>0</v>
      </c>
      <c r="J150" s="3">
        <f t="shared" si="13"/>
        <v>15</v>
      </c>
      <c r="K150" t="s">
        <v>8</v>
      </c>
      <c r="L150" t="s">
        <v>8</v>
      </c>
      <c r="M150">
        <v>3.8</v>
      </c>
      <c r="N150">
        <v>3.8</v>
      </c>
      <c r="O150">
        <v>1.3</v>
      </c>
      <c r="P150">
        <v>0</v>
      </c>
      <c r="Q150">
        <v>1.5</v>
      </c>
      <c r="R150">
        <v>0</v>
      </c>
      <c r="S150">
        <v>1.9</v>
      </c>
      <c r="T150">
        <v>0</v>
      </c>
      <c r="U150">
        <v>0</v>
      </c>
      <c r="V150">
        <v>0</v>
      </c>
      <c r="W150" t="s">
        <v>8</v>
      </c>
      <c r="X150">
        <v>1.9</v>
      </c>
      <c r="Y150">
        <v>0</v>
      </c>
      <c r="Z150">
        <v>0</v>
      </c>
      <c r="AA150">
        <v>0</v>
      </c>
      <c r="AB150">
        <v>11.4</v>
      </c>
    </row>
    <row r="151" spans="1:28" x14ac:dyDescent="0.25">
      <c r="A151">
        <v>150</v>
      </c>
      <c r="B151" t="s">
        <v>355</v>
      </c>
      <c r="C151" t="s">
        <v>90</v>
      </c>
      <c r="D151" s="6">
        <f t="shared" si="14"/>
        <v>1.65</v>
      </c>
      <c r="E151">
        <v>3.1</v>
      </c>
      <c r="F151">
        <v>24.9</v>
      </c>
      <c r="G151" s="3">
        <f t="shared" si="10"/>
        <v>1</v>
      </c>
      <c r="H151" s="3">
        <f t="shared" si="11"/>
        <v>0</v>
      </c>
      <c r="I151" s="3">
        <f t="shared" si="12"/>
        <v>0</v>
      </c>
      <c r="J151" s="3">
        <f t="shared" si="13"/>
        <v>8</v>
      </c>
      <c r="K151" t="s">
        <v>8</v>
      </c>
      <c r="L151" t="s">
        <v>8</v>
      </c>
      <c r="M151" t="s">
        <v>8</v>
      </c>
      <c r="N151" t="s">
        <v>8</v>
      </c>
      <c r="O151" t="s">
        <v>8</v>
      </c>
      <c r="P151" t="s">
        <v>8</v>
      </c>
      <c r="Q151" t="s">
        <v>8</v>
      </c>
      <c r="R151" t="s">
        <v>8</v>
      </c>
      <c r="S151">
        <v>0</v>
      </c>
      <c r="T151">
        <v>14.1</v>
      </c>
      <c r="U151" t="s">
        <v>8</v>
      </c>
      <c r="V151">
        <v>1.4</v>
      </c>
      <c r="W151">
        <v>1.5</v>
      </c>
      <c r="X151">
        <v>1.8</v>
      </c>
      <c r="Y151">
        <v>3.9</v>
      </c>
      <c r="Z151">
        <v>2.2000000000000002</v>
      </c>
      <c r="AA151">
        <v>0</v>
      </c>
      <c r="AB151" t="s">
        <v>8</v>
      </c>
    </row>
    <row r="152" spans="1:28" x14ac:dyDescent="0.25">
      <c r="A152">
        <v>151</v>
      </c>
      <c r="B152" t="s">
        <v>327</v>
      </c>
      <c r="C152" t="s">
        <v>90</v>
      </c>
      <c r="D152" s="6">
        <f t="shared" si="14"/>
        <v>0</v>
      </c>
      <c r="E152">
        <v>2.5</v>
      </c>
      <c r="F152">
        <v>22.6</v>
      </c>
      <c r="G152" s="3">
        <f t="shared" si="10"/>
        <v>1</v>
      </c>
      <c r="H152" s="3">
        <f t="shared" si="11"/>
        <v>0</v>
      </c>
      <c r="I152" s="3">
        <f t="shared" si="12"/>
        <v>0</v>
      </c>
      <c r="J152" s="3">
        <f t="shared" si="13"/>
        <v>9</v>
      </c>
      <c r="K152" t="s">
        <v>8</v>
      </c>
      <c r="L152" t="s">
        <v>8</v>
      </c>
      <c r="M152">
        <v>13.8</v>
      </c>
      <c r="N152">
        <v>0</v>
      </c>
      <c r="O152">
        <v>0</v>
      </c>
      <c r="P152">
        <v>0</v>
      </c>
      <c r="Q152" t="s">
        <v>8</v>
      </c>
      <c r="R152" t="s">
        <v>8</v>
      </c>
      <c r="S152" t="s">
        <v>8</v>
      </c>
      <c r="T152" t="s">
        <v>8</v>
      </c>
      <c r="U152">
        <v>5.9</v>
      </c>
      <c r="V152" t="s">
        <v>8</v>
      </c>
      <c r="W152" t="s">
        <v>8</v>
      </c>
      <c r="X152" t="s">
        <v>8</v>
      </c>
      <c r="Y152">
        <v>0</v>
      </c>
      <c r="Z152">
        <v>2.9</v>
      </c>
      <c r="AA152">
        <v>0</v>
      </c>
      <c r="AB152">
        <v>0</v>
      </c>
    </row>
    <row r="153" spans="1:28" x14ac:dyDescent="0.25">
      <c r="A153">
        <v>152</v>
      </c>
      <c r="B153" t="s">
        <v>575</v>
      </c>
      <c r="C153" t="s">
        <v>90</v>
      </c>
      <c r="D153" s="6">
        <f t="shared" si="14"/>
        <v>0</v>
      </c>
      <c r="E153">
        <v>1.5</v>
      </c>
      <c r="F153">
        <v>22.5</v>
      </c>
      <c r="G153" s="3">
        <f t="shared" si="10"/>
        <v>0</v>
      </c>
      <c r="H153" s="3">
        <f t="shared" si="11"/>
        <v>0</v>
      </c>
      <c r="I153" s="3">
        <f t="shared" si="12"/>
        <v>0</v>
      </c>
      <c r="J153" s="3">
        <f t="shared" si="13"/>
        <v>15</v>
      </c>
      <c r="K153" t="s">
        <v>8</v>
      </c>
      <c r="L153" t="s">
        <v>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2.2000000000000002</v>
      </c>
      <c r="U153" t="s">
        <v>8</v>
      </c>
      <c r="V153">
        <v>4</v>
      </c>
      <c r="W153">
        <v>0.9</v>
      </c>
      <c r="X153">
        <v>6.4</v>
      </c>
      <c r="Y153">
        <v>6.1</v>
      </c>
      <c r="Z153">
        <v>0</v>
      </c>
      <c r="AA153">
        <v>1.6</v>
      </c>
      <c r="AB153">
        <v>1.3</v>
      </c>
    </row>
    <row r="154" spans="1:28" x14ac:dyDescent="0.25">
      <c r="A154">
        <v>153</v>
      </c>
      <c r="B154" t="s">
        <v>255</v>
      </c>
      <c r="C154" t="s">
        <v>32</v>
      </c>
      <c r="D154" s="6">
        <f t="shared" si="14"/>
        <v>1.5</v>
      </c>
      <c r="E154">
        <v>1.5</v>
      </c>
      <c r="F154">
        <v>21.9</v>
      </c>
      <c r="G154" s="3">
        <f t="shared" si="10"/>
        <v>0</v>
      </c>
      <c r="H154" s="3">
        <f t="shared" si="11"/>
        <v>0</v>
      </c>
      <c r="I154" s="3">
        <f t="shared" si="12"/>
        <v>0</v>
      </c>
      <c r="J154" s="3">
        <f t="shared" si="13"/>
        <v>15</v>
      </c>
      <c r="K154">
        <v>1.9</v>
      </c>
      <c r="L154">
        <v>0</v>
      </c>
      <c r="M154" t="s">
        <v>8</v>
      </c>
      <c r="N154">
        <v>0</v>
      </c>
      <c r="O154">
        <v>0</v>
      </c>
      <c r="P154">
        <v>1.5</v>
      </c>
      <c r="Q154" t="s">
        <v>7</v>
      </c>
      <c r="R154">
        <v>0</v>
      </c>
      <c r="S154">
        <v>1.2</v>
      </c>
      <c r="T154">
        <v>1.7</v>
      </c>
      <c r="U154">
        <v>0</v>
      </c>
      <c r="V154">
        <v>4.4000000000000004</v>
      </c>
      <c r="W154" t="s">
        <v>8</v>
      </c>
      <c r="X154">
        <v>3.5</v>
      </c>
      <c r="Y154">
        <v>0.5</v>
      </c>
      <c r="Z154">
        <v>2.8</v>
      </c>
      <c r="AA154">
        <v>2.8</v>
      </c>
      <c r="AB154">
        <v>1.6</v>
      </c>
    </row>
    <row r="155" spans="1:28" x14ac:dyDescent="0.25">
      <c r="A155">
        <v>154</v>
      </c>
      <c r="B155" t="s">
        <v>574</v>
      </c>
      <c r="C155" t="s">
        <v>90</v>
      </c>
      <c r="D155" s="6">
        <f t="shared" si="14"/>
        <v>0</v>
      </c>
      <c r="E155">
        <v>2</v>
      </c>
      <c r="F155">
        <v>21.7</v>
      </c>
      <c r="G155" s="3">
        <f t="shared" si="10"/>
        <v>1</v>
      </c>
      <c r="H155" s="3">
        <f t="shared" si="11"/>
        <v>0</v>
      </c>
      <c r="I155" s="3">
        <f t="shared" si="12"/>
        <v>0</v>
      </c>
      <c r="J155" s="3">
        <f t="shared" si="13"/>
        <v>11</v>
      </c>
      <c r="K155">
        <v>0</v>
      </c>
      <c r="L155">
        <v>12.6</v>
      </c>
      <c r="M155">
        <v>2.5</v>
      </c>
      <c r="N155" t="s">
        <v>8</v>
      </c>
      <c r="O155" t="s">
        <v>8</v>
      </c>
      <c r="P155" t="s">
        <v>8</v>
      </c>
      <c r="Q155">
        <v>0</v>
      </c>
      <c r="R155">
        <v>2.5</v>
      </c>
      <c r="S155">
        <v>0</v>
      </c>
      <c r="T155" t="s">
        <v>8</v>
      </c>
      <c r="U155" t="s">
        <v>8</v>
      </c>
      <c r="V155" t="s">
        <v>8</v>
      </c>
      <c r="W155" t="s">
        <v>8</v>
      </c>
      <c r="X155">
        <v>0</v>
      </c>
      <c r="Y155">
        <v>2.8</v>
      </c>
      <c r="Z155">
        <v>0</v>
      </c>
      <c r="AA155">
        <v>0</v>
      </c>
      <c r="AB155">
        <v>1.3</v>
      </c>
    </row>
    <row r="156" spans="1:28" x14ac:dyDescent="0.25">
      <c r="A156">
        <v>155</v>
      </c>
      <c r="B156" t="s">
        <v>286</v>
      </c>
      <c r="C156" t="s">
        <v>22</v>
      </c>
      <c r="D156" s="6">
        <f t="shared" si="14"/>
        <v>2.8</v>
      </c>
      <c r="E156">
        <v>2.7</v>
      </c>
      <c r="F156">
        <v>21.5</v>
      </c>
      <c r="G156" s="3">
        <f t="shared" si="10"/>
        <v>0</v>
      </c>
      <c r="H156" s="3">
        <f t="shared" si="11"/>
        <v>0</v>
      </c>
      <c r="I156" s="3">
        <f t="shared" si="12"/>
        <v>0</v>
      </c>
      <c r="J156" s="3">
        <f t="shared" si="13"/>
        <v>8</v>
      </c>
      <c r="K156">
        <v>4.0999999999999996</v>
      </c>
      <c r="L156">
        <v>0.7</v>
      </c>
      <c r="M156">
        <v>1.7</v>
      </c>
      <c r="N156">
        <v>2.9</v>
      </c>
      <c r="O156">
        <v>2.7</v>
      </c>
      <c r="P156">
        <v>4.7</v>
      </c>
      <c r="Q156" t="s">
        <v>8</v>
      </c>
      <c r="R156" t="s">
        <v>8</v>
      </c>
      <c r="S156" t="s">
        <v>8</v>
      </c>
      <c r="T156" t="s">
        <v>8</v>
      </c>
      <c r="U156">
        <v>2.9</v>
      </c>
      <c r="V156">
        <v>1.8</v>
      </c>
      <c r="W156" t="s">
        <v>7</v>
      </c>
      <c r="X156" t="s">
        <v>8</v>
      </c>
      <c r="Y156" t="s">
        <v>8</v>
      </c>
      <c r="Z156" t="s">
        <v>8</v>
      </c>
      <c r="AA156" t="s">
        <v>8</v>
      </c>
      <c r="AB156" t="s">
        <v>8</v>
      </c>
    </row>
    <row r="157" spans="1:28" x14ac:dyDescent="0.25">
      <c r="A157">
        <v>155</v>
      </c>
      <c r="B157" t="s">
        <v>281</v>
      </c>
      <c r="C157" t="s">
        <v>78</v>
      </c>
      <c r="D157" s="6">
        <f t="shared" si="14"/>
        <v>0</v>
      </c>
      <c r="E157">
        <v>1.3</v>
      </c>
      <c r="F157">
        <v>21.5</v>
      </c>
      <c r="G157" s="3">
        <f t="shared" si="10"/>
        <v>0</v>
      </c>
      <c r="H157" s="3">
        <f t="shared" si="11"/>
        <v>0</v>
      </c>
      <c r="I157" s="3">
        <f t="shared" si="12"/>
        <v>0</v>
      </c>
      <c r="J157" s="3">
        <f t="shared" si="13"/>
        <v>16</v>
      </c>
      <c r="K157">
        <v>0</v>
      </c>
      <c r="L157">
        <v>3.1</v>
      </c>
      <c r="M157">
        <v>1.3</v>
      </c>
      <c r="N157" t="s">
        <v>8</v>
      </c>
      <c r="O157">
        <v>0</v>
      </c>
      <c r="P157">
        <v>0</v>
      </c>
      <c r="Q157">
        <v>0</v>
      </c>
      <c r="R157">
        <v>9</v>
      </c>
      <c r="S157">
        <v>-0.2</v>
      </c>
      <c r="T157" t="s">
        <v>8</v>
      </c>
      <c r="U157">
        <v>0</v>
      </c>
      <c r="V157">
        <v>0.9</v>
      </c>
      <c r="W157">
        <v>3.2</v>
      </c>
      <c r="X157">
        <v>0</v>
      </c>
      <c r="Y157">
        <v>0</v>
      </c>
      <c r="Z157">
        <v>0</v>
      </c>
      <c r="AA157">
        <v>0</v>
      </c>
      <c r="AB157">
        <v>4.2</v>
      </c>
    </row>
    <row r="158" spans="1:28" x14ac:dyDescent="0.25">
      <c r="A158">
        <v>157</v>
      </c>
      <c r="B158" t="s">
        <v>298</v>
      </c>
      <c r="C158" t="s">
        <v>30</v>
      </c>
      <c r="D158" s="6">
        <f t="shared" si="14"/>
        <v>0</v>
      </c>
      <c r="E158">
        <v>1.9</v>
      </c>
      <c r="F158">
        <v>20.7</v>
      </c>
      <c r="G158" s="3">
        <f t="shared" si="10"/>
        <v>0</v>
      </c>
      <c r="H158" s="3">
        <f t="shared" si="11"/>
        <v>0</v>
      </c>
      <c r="I158" s="3">
        <f t="shared" si="12"/>
        <v>0</v>
      </c>
      <c r="J158" s="3">
        <f t="shared" si="13"/>
        <v>11</v>
      </c>
      <c r="K158">
        <v>0</v>
      </c>
      <c r="L158">
        <v>6</v>
      </c>
      <c r="M158">
        <v>1.6</v>
      </c>
      <c r="N158" t="s">
        <v>8</v>
      </c>
      <c r="O158" t="s">
        <v>8</v>
      </c>
      <c r="P158" t="s">
        <v>8</v>
      </c>
      <c r="Q158" t="s">
        <v>7</v>
      </c>
      <c r="R158" t="s">
        <v>8</v>
      </c>
      <c r="S158" t="s">
        <v>8</v>
      </c>
      <c r="T158" t="s">
        <v>8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0.9</v>
      </c>
      <c r="AA158">
        <v>0</v>
      </c>
      <c r="AB158">
        <v>9.1999999999999993</v>
      </c>
    </row>
    <row r="159" spans="1:28" x14ac:dyDescent="0.25">
      <c r="A159">
        <v>158</v>
      </c>
      <c r="B159" t="s">
        <v>204</v>
      </c>
      <c r="C159" t="s">
        <v>36</v>
      </c>
      <c r="D159" s="6">
        <f t="shared" si="14"/>
        <v>1.7</v>
      </c>
      <c r="E159">
        <v>2.9</v>
      </c>
      <c r="F159">
        <v>20.399999999999999</v>
      </c>
      <c r="G159" s="3">
        <f t="shared" si="10"/>
        <v>1</v>
      </c>
      <c r="H159" s="3">
        <f t="shared" si="11"/>
        <v>0</v>
      </c>
      <c r="I159" s="3">
        <f t="shared" si="12"/>
        <v>0</v>
      </c>
      <c r="J159" s="3">
        <f t="shared" si="13"/>
        <v>7</v>
      </c>
      <c r="K159" t="s">
        <v>8</v>
      </c>
      <c r="L159" t="s">
        <v>8</v>
      </c>
      <c r="M159" t="s">
        <v>8</v>
      </c>
      <c r="N159" t="s">
        <v>8</v>
      </c>
      <c r="O159" t="s">
        <v>8</v>
      </c>
      <c r="P159" t="s">
        <v>8</v>
      </c>
      <c r="Q159" t="s">
        <v>7</v>
      </c>
      <c r="R159" t="s">
        <v>8</v>
      </c>
      <c r="S159" t="s">
        <v>8</v>
      </c>
      <c r="T159" t="s">
        <v>8</v>
      </c>
      <c r="U159" t="s">
        <v>8</v>
      </c>
      <c r="V159">
        <v>0</v>
      </c>
      <c r="W159">
        <v>0</v>
      </c>
      <c r="X159">
        <v>2.1</v>
      </c>
      <c r="Y159">
        <v>14.8</v>
      </c>
      <c r="Z159">
        <v>1.7</v>
      </c>
      <c r="AA159">
        <v>0</v>
      </c>
      <c r="AB159">
        <v>1.8</v>
      </c>
    </row>
    <row r="160" spans="1:28" x14ac:dyDescent="0.25">
      <c r="A160">
        <v>159</v>
      </c>
      <c r="B160" t="s">
        <v>207</v>
      </c>
      <c r="C160" t="s">
        <v>34</v>
      </c>
      <c r="D160" s="6">
        <f t="shared" si="14"/>
        <v>0</v>
      </c>
      <c r="E160">
        <v>1.4</v>
      </c>
      <c r="F160">
        <v>20.3</v>
      </c>
      <c r="G160" s="3">
        <f t="shared" si="10"/>
        <v>0</v>
      </c>
      <c r="H160" s="3">
        <f t="shared" si="11"/>
        <v>0</v>
      </c>
      <c r="I160" s="3">
        <f t="shared" si="12"/>
        <v>0</v>
      </c>
      <c r="J160" s="3">
        <f t="shared" si="13"/>
        <v>15</v>
      </c>
      <c r="K160">
        <v>0</v>
      </c>
      <c r="L160">
        <v>1.4</v>
      </c>
      <c r="M160">
        <v>0</v>
      </c>
      <c r="N160">
        <v>1.6</v>
      </c>
      <c r="O160">
        <v>2.2999999999999998</v>
      </c>
      <c r="P160">
        <v>0</v>
      </c>
      <c r="Q160">
        <v>-0.7</v>
      </c>
      <c r="R160" t="s">
        <v>8</v>
      </c>
      <c r="S160">
        <v>0</v>
      </c>
      <c r="T160">
        <v>7.2</v>
      </c>
      <c r="U160">
        <v>1.5</v>
      </c>
      <c r="V160">
        <v>1.6</v>
      </c>
      <c r="W160" t="s">
        <v>8</v>
      </c>
      <c r="X160" t="s">
        <v>8</v>
      </c>
      <c r="Y160">
        <v>0</v>
      </c>
      <c r="Z160">
        <v>0</v>
      </c>
      <c r="AA160">
        <v>0</v>
      </c>
      <c r="AB160">
        <v>5.4</v>
      </c>
    </row>
    <row r="161" spans="1:28" x14ac:dyDescent="0.25">
      <c r="A161">
        <v>160</v>
      </c>
      <c r="B161" t="s">
        <v>577</v>
      </c>
      <c r="C161" t="s">
        <v>90</v>
      </c>
      <c r="D161" s="6">
        <f t="shared" si="14"/>
        <v>1.6</v>
      </c>
      <c r="E161">
        <v>2.2000000000000002</v>
      </c>
      <c r="F161">
        <v>19.399999999999999</v>
      </c>
      <c r="G161" s="3">
        <f t="shared" si="10"/>
        <v>0</v>
      </c>
      <c r="H161" s="3">
        <f t="shared" si="11"/>
        <v>0</v>
      </c>
      <c r="I161" s="3">
        <f t="shared" si="12"/>
        <v>0</v>
      </c>
      <c r="J161" s="3">
        <f t="shared" si="13"/>
        <v>9</v>
      </c>
      <c r="K161">
        <v>1.6</v>
      </c>
      <c r="L161">
        <v>-2</v>
      </c>
      <c r="M161" t="s">
        <v>8</v>
      </c>
      <c r="N161" t="s">
        <v>8</v>
      </c>
      <c r="O161" t="s">
        <v>8</v>
      </c>
      <c r="P161" t="s">
        <v>8</v>
      </c>
      <c r="Q161" t="s">
        <v>8</v>
      </c>
      <c r="R161" t="s">
        <v>8</v>
      </c>
      <c r="S161" t="s">
        <v>8</v>
      </c>
      <c r="T161" t="s">
        <v>8</v>
      </c>
      <c r="U161" t="s">
        <v>8</v>
      </c>
      <c r="V161">
        <v>0</v>
      </c>
      <c r="W161">
        <v>2.2000000000000002</v>
      </c>
      <c r="X161">
        <v>1.4</v>
      </c>
      <c r="Y161">
        <v>2.7</v>
      </c>
      <c r="Z161">
        <v>8.4</v>
      </c>
      <c r="AA161">
        <v>1.6</v>
      </c>
      <c r="AB161">
        <v>3.5</v>
      </c>
    </row>
    <row r="162" spans="1:28" x14ac:dyDescent="0.25">
      <c r="A162">
        <v>161</v>
      </c>
      <c r="B162" t="s">
        <v>293</v>
      </c>
      <c r="C162" t="s">
        <v>38</v>
      </c>
      <c r="D162" s="6">
        <f t="shared" si="14"/>
        <v>0</v>
      </c>
      <c r="E162">
        <v>1.2</v>
      </c>
      <c r="F162">
        <v>19.3</v>
      </c>
      <c r="G162" s="3">
        <f t="shared" si="10"/>
        <v>0</v>
      </c>
      <c r="H162" s="3">
        <f t="shared" si="11"/>
        <v>0</v>
      </c>
      <c r="I162" s="3">
        <f t="shared" si="12"/>
        <v>0</v>
      </c>
      <c r="J162" s="3">
        <f t="shared" si="13"/>
        <v>16</v>
      </c>
      <c r="K162" t="s">
        <v>8</v>
      </c>
      <c r="L162">
        <v>0</v>
      </c>
      <c r="M162">
        <v>3.1</v>
      </c>
      <c r="N162">
        <v>0.9</v>
      </c>
      <c r="O162">
        <v>0</v>
      </c>
      <c r="P162">
        <v>0</v>
      </c>
      <c r="Q162">
        <v>3.7</v>
      </c>
      <c r="R162">
        <v>0</v>
      </c>
      <c r="S162" t="s">
        <v>8</v>
      </c>
      <c r="T162">
        <v>3.7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6.2</v>
      </c>
      <c r="AA162">
        <v>0</v>
      </c>
      <c r="AB162">
        <v>1.7</v>
      </c>
    </row>
    <row r="163" spans="1:28" x14ac:dyDescent="0.25">
      <c r="A163">
        <v>162</v>
      </c>
      <c r="B163" t="s">
        <v>576</v>
      </c>
      <c r="C163" t="s">
        <v>90</v>
      </c>
      <c r="D163" s="6">
        <f t="shared" si="14"/>
        <v>0</v>
      </c>
      <c r="E163">
        <v>1.5</v>
      </c>
      <c r="F163">
        <v>16.899999999999999</v>
      </c>
      <c r="G163" s="3">
        <f t="shared" si="10"/>
        <v>0</v>
      </c>
      <c r="H163" s="3">
        <f t="shared" si="11"/>
        <v>0</v>
      </c>
      <c r="I163" s="3">
        <f t="shared" si="12"/>
        <v>0</v>
      </c>
      <c r="J163" s="3">
        <f t="shared" si="13"/>
        <v>11</v>
      </c>
      <c r="K163">
        <v>0</v>
      </c>
      <c r="L163">
        <v>0</v>
      </c>
      <c r="M163">
        <v>2.2000000000000002</v>
      </c>
      <c r="N163">
        <v>2.8</v>
      </c>
      <c r="O163">
        <v>0</v>
      </c>
      <c r="P163">
        <v>2</v>
      </c>
      <c r="Q163" t="s">
        <v>8</v>
      </c>
      <c r="R163" t="s">
        <v>8</v>
      </c>
      <c r="S163" t="s">
        <v>8</v>
      </c>
      <c r="T163" t="s">
        <v>8</v>
      </c>
      <c r="U163" t="s">
        <v>8</v>
      </c>
      <c r="V163">
        <v>0</v>
      </c>
      <c r="W163" t="s">
        <v>8</v>
      </c>
      <c r="X163">
        <v>8.5</v>
      </c>
      <c r="Y163">
        <v>0</v>
      </c>
      <c r="Z163" t="s">
        <v>8</v>
      </c>
      <c r="AA163">
        <v>0</v>
      </c>
      <c r="AB163">
        <v>1.4</v>
      </c>
    </row>
    <row r="164" spans="1:28" x14ac:dyDescent="0.25">
      <c r="A164">
        <v>163</v>
      </c>
      <c r="B164" t="s">
        <v>578</v>
      </c>
      <c r="C164" t="s">
        <v>62</v>
      </c>
      <c r="D164" s="6">
        <f t="shared" si="14"/>
        <v>0</v>
      </c>
      <c r="E164">
        <v>2.4</v>
      </c>
      <c r="F164">
        <v>16.600000000000001</v>
      </c>
      <c r="G164" s="3">
        <f t="shared" si="10"/>
        <v>0</v>
      </c>
      <c r="H164" s="3">
        <f t="shared" si="11"/>
        <v>0</v>
      </c>
      <c r="I164" s="3">
        <f t="shared" si="12"/>
        <v>0</v>
      </c>
      <c r="J164" s="3">
        <f t="shared" si="13"/>
        <v>7</v>
      </c>
      <c r="K164" t="s">
        <v>8</v>
      </c>
      <c r="L164" t="s">
        <v>8</v>
      </c>
      <c r="M164" t="s">
        <v>8</v>
      </c>
      <c r="N164" t="s">
        <v>8</v>
      </c>
      <c r="O164" t="s">
        <v>8</v>
      </c>
      <c r="P164" t="s">
        <v>8</v>
      </c>
      <c r="Q164" t="s">
        <v>8</v>
      </c>
      <c r="R164">
        <v>0</v>
      </c>
      <c r="S164" t="s">
        <v>8</v>
      </c>
      <c r="T164" t="s">
        <v>7</v>
      </c>
      <c r="U164">
        <v>0</v>
      </c>
      <c r="V164">
        <v>4</v>
      </c>
      <c r="W164">
        <v>0</v>
      </c>
      <c r="X164" t="s">
        <v>8</v>
      </c>
      <c r="Y164" t="s">
        <v>8</v>
      </c>
      <c r="Z164">
        <v>7.8</v>
      </c>
      <c r="AA164">
        <v>4.8</v>
      </c>
      <c r="AB164">
        <v>0</v>
      </c>
    </row>
    <row r="165" spans="1:28" x14ac:dyDescent="0.25">
      <c r="A165">
        <v>164</v>
      </c>
      <c r="B165" t="s">
        <v>584</v>
      </c>
      <c r="C165" t="s">
        <v>90</v>
      </c>
      <c r="D165" s="6">
        <f t="shared" si="14"/>
        <v>0.7</v>
      </c>
      <c r="E165">
        <v>1.3</v>
      </c>
      <c r="F165">
        <v>16.600000000000001</v>
      </c>
      <c r="G165" s="3">
        <f t="shared" si="10"/>
        <v>0</v>
      </c>
      <c r="H165" s="3">
        <f t="shared" si="11"/>
        <v>0</v>
      </c>
      <c r="I165" s="3">
        <f t="shared" si="12"/>
        <v>0</v>
      </c>
      <c r="J165" s="3">
        <f t="shared" si="13"/>
        <v>13</v>
      </c>
      <c r="K165">
        <v>0</v>
      </c>
      <c r="L165">
        <v>1.7</v>
      </c>
      <c r="M165">
        <v>1.3</v>
      </c>
      <c r="N165">
        <v>1.6</v>
      </c>
      <c r="O165">
        <v>0.4</v>
      </c>
      <c r="P165">
        <v>4.3</v>
      </c>
      <c r="Q165">
        <v>0.7</v>
      </c>
      <c r="R165">
        <v>0</v>
      </c>
      <c r="S165">
        <v>1.2</v>
      </c>
      <c r="T165">
        <v>7.1</v>
      </c>
      <c r="U165" t="s">
        <v>8</v>
      </c>
      <c r="V165">
        <v>0.3</v>
      </c>
      <c r="W165">
        <v>0</v>
      </c>
      <c r="X165">
        <v>-2</v>
      </c>
      <c r="Y165" t="s">
        <v>8</v>
      </c>
      <c r="Z165" t="s">
        <v>8</v>
      </c>
      <c r="AA165" t="s">
        <v>8</v>
      </c>
      <c r="AB165" t="s">
        <v>8</v>
      </c>
    </row>
    <row r="166" spans="1:28" x14ac:dyDescent="0.25">
      <c r="A166">
        <v>165</v>
      </c>
      <c r="B166" t="s">
        <v>582</v>
      </c>
      <c r="C166" t="s">
        <v>43</v>
      </c>
      <c r="D166" s="6">
        <f t="shared" si="14"/>
        <v>1.3</v>
      </c>
      <c r="E166">
        <v>1.4</v>
      </c>
      <c r="F166">
        <v>15.8</v>
      </c>
      <c r="G166" s="3">
        <f t="shared" si="10"/>
        <v>0</v>
      </c>
      <c r="H166" s="3">
        <f t="shared" si="11"/>
        <v>0</v>
      </c>
      <c r="I166" s="3">
        <f t="shared" si="12"/>
        <v>0</v>
      </c>
      <c r="J166" s="3">
        <f t="shared" si="13"/>
        <v>11</v>
      </c>
      <c r="K166">
        <v>3.8</v>
      </c>
      <c r="L166">
        <v>1.6</v>
      </c>
      <c r="M166">
        <v>2</v>
      </c>
      <c r="N166">
        <v>4.5</v>
      </c>
      <c r="O166">
        <v>0</v>
      </c>
      <c r="P166" t="s">
        <v>8</v>
      </c>
      <c r="Q166">
        <v>1.3</v>
      </c>
      <c r="R166">
        <v>0</v>
      </c>
      <c r="S166" t="s">
        <v>8</v>
      </c>
      <c r="T166" t="s">
        <v>8</v>
      </c>
      <c r="U166" t="s">
        <v>8</v>
      </c>
      <c r="V166">
        <v>0</v>
      </c>
      <c r="W166" t="s">
        <v>7</v>
      </c>
      <c r="X166">
        <v>4.2</v>
      </c>
      <c r="Y166" t="s">
        <v>8</v>
      </c>
      <c r="Z166">
        <v>0</v>
      </c>
      <c r="AA166">
        <v>-1.6</v>
      </c>
      <c r="AB166" t="s">
        <v>8</v>
      </c>
    </row>
    <row r="167" spans="1:28" x14ac:dyDescent="0.25">
      <c r="A167">
        <v>166</v>
      </c>
      <c r="B167" t="s">
        <v>580</v>
      </c>
      <c r="C167" t="s">
        <v>12</v>
      </c>
      <c r="D167" s="6">
        <f t="shared" si="14"/>
        <v>0</v>
      </c>
      <c r="E167">
        <v>1.2</v>
      </c>
      <c r="F167">
        <v>14.7</v>
      </c>
      <c r="G167" s="3">
        <f t="shared" si="10"/>
        <v>0</v>
      </c>
      <c r="H167" s="3">
        <f t="shared" si="11"/>
        <v>0</v>
      </c>
      <c r="I167" s="3">
        <f t="shared" si="12"/>
        <v>0</v>
      </c>
      <c r="J167" s="3">
        <f t="shared" si="13"/>
        <v>12</v>
      </c>
      <c r="K167">
        <v>0</v>
      </c>
      <c r="L167">
        <v>0</v>
      </c>
      <c r="M167">
        <v>0</v>
      </c>
      <c r="N167" t="s">
        <v>8</v>
      </c>
      <c r="O167">
        <v>1.1000000000000001</v>
      </c>
      <c r="P167">
        <v>0</v>
      </c>
      <c r="Q167">
        <v>0</v>
      </c>
      <c r="R167" t="s">
        <v>8</v>
      </c>
      <c r="S167" t="s">
        <v>8</v>
      </c>
      <c r="T167" t="s">
        <v>8</v>
      </c>
      <c r="U167" t="s">
        <v>8</v>
      </c>
      <c r="V167">
        <v>4</v>
      </c>
      <c r="W167">
        <v>0</v>
      </c>
      <c r="X167">
        <v>0</v>
      </c>
      <c r="Y167">
        <v>7.7</v>
      </c>
      <c r="Z167">
        <v>1.9</v>
      </c>
      <c r="AA167">
        <v>0</v>
      </c>
      <c r="AB167" t="s">
        <v>8</v>
      </c>
    </row>
    <row r="168" spans="1:28" x14ac:dyDescent="0.25">
      <c r="A168">
        <v>167</v>
      </c>
      <c r="B168" t="s">
        <v>579</v>
      </c>
      <c r="C168" t="s">
        <v>24</v>
      </c>
      <c r="D168" s="6">
        <f t="shared" si="14"/>
        <v>0</v>
      </c>
      <c r="E168">
        <v>2.1</v>
      </c>
      <c r="F168">
        <v>14.6</v>
      </c>
      <c r="G168" s="3">
        <f t="shared" si="10"/>
        <v>1</v>
      </c>
      <c r="H168" s="3">
        <f t="shared" si="11"/>
        <v>0</v>
      </c>
      <c r="I168" s="3">
        <f t="shared" si="12"/>
        <v>0</v>
      </c>
      <c r="J168" s="3">
        <f t="shared" si="13"/>
        <v>7</v>
      </c>
      <c r="K168" t="s">
        <v>8</v>
      </c>
      <c r="L168" t="s">
        <v>8</v>
      </c>
      <c r="M168" t="s">
        <v>8</v>
      </c>
      <c r="N168" t="s">
        <v>8</v>
      </c>
      <c r="O168" t="s">
        <v>8</v>
      </c>
      <c r="P168" t="s">
        <v>8</v>
      </c>
      <c r="Q168" t="s">
        <v>8</v>
      </c>
      <c r="R168" t="s">
        <v>8</v>
      </c>
      <c r="S168" t="s">
        <v>8</v>
      </c>
      <c r="T168" t="s">
        <v>8</v>
      </c>
      <c r="U168" t="s">
        <v>7</v>
      </c>
      <c r="V168">
        <v>0</v>
      </c>
      <c r="W168">
        <v>0</v>
      </c>
      <c r="X168">
        <v>0</v>
      </c>
      <c r="Y168">
        <v>12.8</v>
      </c>
      <c r="Z168">
        <v>1.8</v>
      </c>
      <c r="AA168">
        <v>0</v>
      </c>
      <c r="AB168">
        <v>0</v>
      </c>
    </row>
    <row r="169" spans="1:28" x14ac:dyDescent="0.25">
      <c r="A169">
        <v>168</v>
      </c>
      <c r="B169" t="s">
        <v>581</v>
      </c>
      <c r="C169" t="s">
        <v>90</v>
      </c>
      <c r="D169" s="6">
        <f t="shared" si="14"/>
        <v>0</v>
      </c>
      <c r="E169">
        <v>1.2</v>
      </c>
      <c r="F169">
        <v>14</v>
      </c>
      <c r="G169" s="3">
        <f t="shared" si="10"/>
        <v>0</v>
      </c>
      <c r="H169" s="3">
        <f t="shared" si="11"/>
        <v>0</v>
      </c>
      <c r="I169" s="3">
        <f t="shared" si="12"/>
        <v>0</v>
      </c>
      <c r="J169" s="3">
        <f t="shared" si="13"/>
        <v>12</v>
      </c>
      <c r="K169">
        <v>0</v>
      </c>
      <c r="L169">
        <v>0</v>
      </c>
      <c r="M169">
        <v>0.1</v>
      </c>
      <c r="N169">
        <v>1</v>
      </c>
      <c r="O169" t="s">
        <v>8</v>
      </c>
      <c r="P169">
        <v>3.4</v>
      </c>
      <c r="Q169">
        <v>3.3</v>
      </c>
      <c r="R169">
        <v>-0.5</v>
      </c>
      <c r="S169">
        <v>0</v>
      </c>
      <c r="T169" t="s">
        <v>8</v>
      </c>
      <c r="U169" t="s">
        <v>8</v>
      </c>
      <c r="V169" t="s">
        <v>8</v>
      </c>
      <c r="W169" t="s">
        <v>8</v>
      </c>
      <c r="X169">
        <v>0</v>
      </c>
      <c r="Y169">
        <v>6.7</v>
      </c>
      <c r="Z169">
        <v>0</v>
      </c>
      <c r="AA169">
        <v>0</v>
      </c>
      <c r="AB169" t="s">
        <v>8</v>
      </c>
    </row>
    <row r="170" spans="1:28" x14ac:dyDescent="0.25">
      <c r="A170">
        <v>169</v>
      </c>
      <c r="B170" t="s">
        <v>583</v>
      </c>
      <c r="C170" t="s">
        <v>60</v>
      </c>
      <c r="D170" s="6">
        <f t="shared" si="14"/>
        <v>0</v>
      </c>
      <c r="E170">
        <v>1.7</v>
      </c>
      <c r="F170">
        <v>13.6</v>
      </c>
      <c r="G170" s="3">
        <f t="shared" si="10"/>
        <v>0</v>
      </c>
      <c r="H170" s="3">
        <f t="shared" si="11"/>
        <v>0</v>
      </c>
      <c r="I170" s="3">
        <f t="shared" si="12"/>
        <v>0</v>
      </c>
      <c r="J170" s="3">
        <f t="shared" si="13"/>
        <v>8</v>
      </c>
      <c r="K170">
        <v>3.7</v>
      </c>
      <c r="L170" t="s">
        <v>8</v>
      </c>
      <c r="M170" t="s">
        <v>8</v>
      </c>
      <c r="N170" t="s">
        <v>8</v>
      </c>
      <c r="O170" t="s">
        <v>8</v>
      </c>
      <c r="P170">
        <v>0</v>
      </c>
      <c r="Q170" t="s">
        <v>8</v>
      </c>
      <c r="R170" t="s">
        <v>8</v>
      </c>
      <c r="S170">
        <v>0</v>
      </c>
      <c r="T170">
        <v>8</v>
      </c>
      <c r="U170">
        <v>0</v>
      </c>
      <c r="V170">
        <v>0</v>
      </c>
      <c r="W170" t="s">
        <v>8</v>
      </c>
      <c r="X170">
        <v>0</v>
      </c>
      <c r="Y170">
        <v>1.9</v>
      </c>
      <c r="Z170" t="s">
        <v>8</v>
      </c>
      <c r="AA170" t="s">
        <v>8</v>
      </c>
      <c r="AB170" t="s">
        <v>8</v>
      </c>
    </row>
    <row r="171" spans="1:28" x14ac:dyDescent="0.25">
      <c r="A171">
        <v>170</v>
      </c>
      <c r="B171" t="s">
        <v>238</v>
      </c>
      <c r="C171" t="s">
        <v>64</v>
      </c>
      <c r="D171" s="6">
        <f t="shared" si="14"/>
        <v>0</v>
      </c>
      <c r="E171">
        <v>1.8</v>
      </c>
      <c r="F171">
        <v>12.4</v>
      </c>
      <c r="G171" s="3">
        <f t="shared" si="10"/>
        <v>0</v>
      </c>
      <c r="H171" s="3">
        <f t="shared" si="11"/>
        <v>0</v>
      </c>
      <c r="I171" s="3">
        <f t="shared" si="12"/>
        <v>0</v>
      </c>
      <c r="J171" s="3">
        <f t="shared" si="13"/>
        <v>7</v>
      </c>
      <c r="K171" t="s">
        <v>8</v>
      </c>
      <c r="L171">
        <v>0</v>
      </c>
      <c r="M171" t="s">
        <v>8</v>
      </c>
      <c r="N171" t="s">
        <v>8</v>
      </c>
      <c r="O171" t="s">
        <v>8</v>
      </c>
      <c r="P171">
        <v>0</v>
      </c>
      <c r="Q171" t="s">
        <v>7</v>
      </c>
      <c r="R171" t="s">
        <v>8</v>
      </c>
      <c r="S171" t="s">
        <v>8</v>
      </c>
      <c r="T171">
        <v>7.9</v>
      </c>
      <c r="U171">
        <v>0</v>
      </c>
      <c r="V171">
        <v>3.4</v>
      </c>
      <c r="W171" t="s">
        <v>8</v>
      </c>
      <c r="X171" t="s">
        <v>8</v>
      </c>
      <c r="Y171" t="s">
        <v>8</v>
      </c>
      <c r="Z171" t="s">
        <v>8</v>
      </c>
      <c r="AA171">
        <v>0</v>
      </c>
      <c r="AB171">
        <v>1.1000000000000001</v>
      </c>
    </row>
    <row r="172" spans="1:28" x14ac:dyDescent="0.25">
      <c r="A172">
        <v>171</v>
      </c>
      <c r="B172" t="s">
        <v>331</v>
      </c>
      <c r="C172" t="s">
        <v>90</v>
      </c>
      <c r="D172" s="6">
        <f t="shared" si="14"/>
        <v>0</v>
      </c>
      <c r="E172">
        <v>1.1000000000000001</v>
      </c>
      <c r="F172">
        <v>11.3</v>
      </c>
      <c r="G172" s="3">
        <f t="shared" si="10"/>
        <v>0</v>
      </c>
      <c r="H172" s="3">
        <f t="shared" si="11"/>
        <v>0</v>
      </c>
      <c r="I172" s="3">
        <f t="shared" si="12"/>
        <v>0</v>
      </c>
      <c r="J172" s="3">
        <f t="shared" si="13"/>
        <v>10</v>
      </c>
      <c r="K172">
        <v>1.6</v>
      </c>
      <c r="L172">
        <v>0</v>
      </c>
      <c r="M172">
        <v>0</v>
      </c>
      <c r="N172">
        <v>0</v>
      </c>
      <c r="O172">
        <v>4.8</v>
      </c>
      <c r="P172">
        <v>0</v>
      </c>
      <c r="Q172">
        <v>0</v>
      </c>
      <c r="R172" t="s">
        <v>8</v>
      </c>
      <c r="S172" t="s">
        <v>8</v>
      </c>
      <c r="T172" t="s">
        <v>8</v>
      </c>
      <c r="U172" t="s">
        <v>8</v>
      </c>
      <c r="V172" t="s">
        <v>8</v>
      </c>
      <c r="W172" t="s">
        <v>8</v>
      </c>
      <c r="X172" t="s">
        <v>8</v>
      </c>
      <c r="Y172" t="s">
        <v>8</v>
      </c>
      <c r="Z172">
        <v>1.2</v>
      </c>
      <c r="AA172">
        <v>0</v>
      </c>
      <c r="AB172">
        <v>3.7</v>
      </c>
    </row>
    <row r="173" spans="1:28" x14ac:dyDescent="0.25">
      <c r="A173">
        <v>172</v>
      </c>
      <c r="B173" t="s">
        <v>363</v>
      </c>
      <c r="C173" t="s">
        <v>90</v>
      </c>
      <c r="D173" s="6">
        <f t="shared" si="14"/>
        <v>1.4</v>
      </c>
      <c r="E173">
        <v>1.6</v>
      </c>
      <c r="F173">
        <v>11.2</v>
      </c>
      <c r="G173" s="3">
        <f t="shared" si="10"/>
        <v>0</v>
      </c>
      <c r="H173" s="3">
        <f t="shared" si="11"/>
        <v>0</v>
      </c>
      <c r="I173" s="3">
        <f t="shared" si="12"/>
        <v>0</v>
      </c>
      <c r="J173" s="3">
        <f t="shared" si="13"/>
        <v>7</v>
      </c>
      <c r="K173" t="s">
        <v>8</v>
      </c>
      <c r="L173" t="s">
        <v>8</v>
      </c>
      <c r="M173" t="s">
        <v>8</v>
      </c>
      <c r="N173">
        <v>3.1</v>
      </c>
      <c r="O173">
        <v>0</v>
      </c>
      <c r="P173" t="s">
        <v>8</v>
      </c>
      <c r="Q173" t="s">
        <v>8</v>
      </c>
      <c r="R173" t="s">
        <v>8</v>
      </c>
      <c r="S173" t="s">
        <v>8</v>
      </c>
      <c r="T173">
        <v>1.4</v>
      </c>
      <c r="U173">
        <v>3.9</v>
      </c>
      <c r="V173">
        <v>0</v>
      </c>
      <c r="W173" t="s">
        <v>8</v>
      </c>
      <c r="X173" t="s">
        <v>8</v>
      </c>
      <c r="Y173" t="s">
        <v>8</v>
      </c>
      <c r="Z173" t="s">
        <v>8</v>
      </c>
      <c r="AA173">
        <v>0</v>
      </c>
      <c r="AB173">
        <v>2.8</v>
      </c>
    </row>
    <row r="174" spans="1:28" x14ac:dyDescent="0.25">
      <c r="A174">
        <v>173</v>
      </c>
      <c r="B174" t="s">
        <v>328</v>
      </c>
      <c r="C174" t="s">
        <v>26</v>
      </c>
      <c r="D174" s="6">
        <f t="shared" si="14"/>
        <v>0.30000000000000004</v>
      </c>
      <c r="E174">
        <v>0.8</v>
      </c>
      <c r="F174">
        <v>11.1</v>
      </c>
      <c r="G174" s="3">
        <f t="shared" si="10"/>
        <v>0</v>
      </c>
      <c r="H174" s="3">
        <f t="shared" si="11"/>
        <v>0</v>
      </c>
      <c r="I174" s="3">
        <f t="shared" si="12"/>
        <v>0</v>
      </c>
      <c r="J174" s="3">
        <f t="shared" si="13"/>
        <v>14</v>
      </c>
      <c r="K174" t="s">
        <v>8</v>
      </c>
      <c r="L174">
        <v>-0.3</v>
      </c>
      <c r="M174">
        <v>0</v>
      </c>
      <c r="N174">
        <v>1</v>
      </c>
      <c r="O174">
        <v>0</v>
      </c>
      <c r="P174">
        <v>3</v>
      </c>
      <c r="Q174">
        <v>1</v>
      </c>
      <c r="R174">
        <v>1.4</v>
      </c>
      <c r="S174">
        <v>0</v>
      </c>
      <c r="T174" t="s">
        <v>8</v>
      </c>
      <c r="U174" t="s">
        <v>7</v>
      </c>
      <c r="V174">
        <v>0</v>
      </c>
      <c r="W174" t="s">
        <v>8</v>
      </c>
      <c r="X174">
        <v>2.1</v>
      </c>
      <c r="Y174">
        <v>2.2999999999999998</v>
      </c>
      <c r="Z174">
        <v>0.4</v>
      </c>
      <c r="AA174">
        <v>0.2</v>
      </c>
      <c r="AB174">
        <v>0</v>
      </c>
    </row>
    <row r="175" spans="1:28" x14ac:dyDescent="0.25">
      <c r="A175">
        <v>174</v>
      </c>
      <c r="B175" t="s">
        <v>257</v>
      </c>
      <c r="C175" t="s">
        <v>34</v>
      </c>
      <c r="D175" s="6">
        <f t="shared" si="14"/>
        <v>0</v>
      </c>
      <c r="E175">
        <v>1</v>
      </c>
      <c r="F175">
        <v>10</v>
      </c>
      <c r="G175" s="3">
        <f t="shared" si="10"/>
        <v>0</v>
      </c>
      <c r="H175" s="3">
        <f t="shared" si="11"/>
        <v>0</v>
      </c>
      <c r="I175" s="3">
        <f t="shared" si="12"/>
        <v>0</v>
      </c>
      <c r="J175" s="3">
        <f t="shared" si="13"/>
        <v>10</v>
      </c>
      <c r="K175">
        <v>0</v>
      </c>
      <c r="L175">
        <v>1.7</v>
      </c>
      <c r="M175">
        <v>0</v>
      </c>
      <c r="N175">
        <v>1.3</v>
      </c>
      <c r="O175" t="s">
        <v>7</v>
      </c>
      <c r="P175">
        <v>0</v>
      </c>
      <c r="Q175">
        <v>0</v>
      </c>
      <c r="R175">
        <v>1.9</v>
      </c>
      <c r="S175">
        <v>0</v>
      </c>
      <c r="T175">
        <v>0</v>
      </c>
      <c r="U175">
        <v>5.0999999999999996</v>
      </c>
      <c r="V175" t="s">
        <v>8</v>
      </c>
      <c r="W175" t="s">
        <v>8</v>
      </c>
      <c r="X175" t="s">
        <v>8</v>
      </c>
      <c r="Y175" t="s">
        <v>8</v>
      </c>
      <c r="Z175" t="s">
        <v>8</v>
      </c>
      <c r="AA175" t="s">
        <v>8</v>
      </c>
      <c r="AB175" t="s">
        <v>8</v>
      </c>
    </row>
    <row r="176" spans="1:28" x14ac:dyDescent="0.25">
      <c r="A176">
        <v>175</v>
      </c>
      <c r="B176" t="s">
        <v>274</v>
      </c>
      <c r="C176" t="s">
        <v>90</v>
      </c>
      <c r="D176" s="6">
        <f t="shared" si="14"/>
        <v>0</v>
      </c>
      <c r="E176">
        <v>1.4</v>
      </c>
      <c r="F176">
        <v>9.9</v>
      </c>
      <c r="G176" s="3">
        <f t="shared" si="10"/>
        <v>0</v>
      </c>
      <c r="H176" s="3">
        <f t="shared" si="11"/>
        <v>0</v>
      </c>
      <c r="I176" s="3">
        <f t="shared" si="12"/>
        <v>0</v>
      </c>
      <c r="J176" s="3">
        <f t="shared" si="13"/>
        <v>7</v>
      </c>
      <c r="K176" t="s">
        <v>8</v>
      </c>
      <c r="L176" t="s">
        <v>8</v>
      </c>
      <c r="M176" t="s">
        <v>8</v>
      </c>
      <c r="N176" t="s">
        <v>8</v>
      </c>
      <c r="O176" t="s">
        <v>8</v>
      </c>
      <c r="P176" t="s">
        <v>8</v>
      </c>
      <c r="Q176">
        <v>0</v>
      </c>
      <c r="R176" t="s">
        <v>8</v>
      </c>
      <c r="S176" t="s">
        <v>8</v>
      </c>
      <c r="T176" t="s">
        <v>8</v>
      </c>
      <c r="U176" t="s">
        <v>8</v>
      </c>
      <c r="V176" t="s">
        <v>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9.9</v>
      </c>
    </row>
    <row r="177" spans="1:28" x14ac:dyDescent="0.25">
      <c r="A177">
        <v>176</v>
      </c>
      <c r="B177" t="s">
        <v>280</v>
      </c>
      <c r="C177" t="s">
        <v>69</v>
      </c>
      <c r="D177" s="6">
        <f t="shared" si="14"/>
        <v>0</v>
      </c>
      <c r="E177">
        <v>0.6</v>
      </c>
      <c r="F177">
        <v>9.6999999999999993</v>
      </c>
      <c r="G177" s="3">
        <f t="shared" si="10"/>
        <v>0</v>
      </c>
      <c r="H177" s="3">
        <f t="shared" si="11"/>
        <v>0</v>
      </c>
      <c r="I177" s="3">
        <f t="shared" si="12"/>
        <v>0</v>
      </c>
      <c r="J177" s="3">
        <f t="shared" si="13"/>
        <v>17</v>
      </c>
      <c r="K177">
        <v>1.5</v>
      </c>
      <c r="L177">
        <v>0</v>
      </c>
      <c r="M177">
        <v>2.6</v>
      </c>
      <c r="N177">
        <v>0</v>
      </c>
      <c r="O177">
        <v>0.3</v>
      </c>
      <c r="P177">
        <v>0</v>
      </c>
      <c r="Q177">
        <v>0</v>
      </c>
      <c r="R177">
        <v>0</v>
      </c>
      <c r="S177">
        <v>2.5</v>
      </c>
      <c r="T177">
        <v>1.5</v>
      </c>
      <c r="U177">
        <v>0</v>
      </c>
      <c r="V177">
        <v>0</v>
      </c>
      <c r="W177" t="s">
        <v>8</v>
      </c>
      <c r="X177">
        <v>0</v>
      </c>
      <c r="Y177">
        <v>0</v>
      </c>
      <c r="Z177">
        <v>0</v>
      </c>
      <c r="AA177">
        <v>0</v>
      </c>
      <c r="AB177">
        <v>1.3</v>
      </c>
    </row>
    <row r="178" spans="1:28" x14ac:dyDescent="0.25">
      <c r="A178">
        <v>177</v>
      </c>
      <c r="B178" t="s">
        <v>585</v>
      </c>
      <c r="C178" t="s">
        <v>90</v>
      </c>
      <c r="D178" s="6">
        <f t="shared" si="14"/>
        <v>0.9</v>
      </c>
      <c r="E178">
        <v>2.2999999999999998</v>
      </c>
      <c r="F178">
        <v>9.3000000000000007</v>
      </c>
      <c r="G178" s="3">
        <f t="shared" si="10"/>
        <v>0</v>
      </c>
      <c r="H178" s="3">
        <f t="shared" si="11"/>
        <v>0</v>
      </c>
      <c r="I178" s="3">
        <f t="shared" si="12"/>
        <v>0</v>
      </c>
      <c r="J178" s="3">
        <f t="shared" si="13"/>
        <v>4</v>
      </c>
      <c r="K178" t="s">
        <v>8</v>
      </c>
      <c r="L178" t="s">
        <v>8</v>
      </c>
      <c r="M178" t="s">
        <v>8</v>
      </c>
      <c r="N178" t="s">
        <v>8</v>
      </c>
      <c r="O178" t="s">
        <v>8</v>
      </c>
      <c r="P178">
        <v>0</v>
      </c>
      <c r="Q178">
        <v>0</v>
      </c>
      <c r="R178" t="s">
        <v>8</v>
      </c>
      <c r="S178" t="s">
        <v>8</v>
      </c>
      <c r="T178" t="s">
        <v>8</v>
      </c>
      <c r="U178" t="s">
        <v>8</v>
      </c>
      <c r="V178" t="s">
        <v>8</v>
      </c>
      <c r="W178" t="s">
        <v>8</v>
      </c>
      <c r="X178" t="s">
        <v>8</v>
      </c>
      <c r="Y178" t="s">
        <v>8</v>
      </c>
      <c r="Z178" t="s">
        <v>8</v>
      </c>
      <c r="AA178">
        <v>7.5</v>
      </c>
      <c r="AB178">
        <v>1.8</v>
      </c>
    </row>
    <row r="179" spans="1:28" x14ac:dyDescent="0.25">
      <c r="A179">
        <v>178</v>
      </c>
      <c r="B179" t="s">
        <v>221</v>
      </c>
      <c r="C179" t="s">
        <v>40</v>
      </c>
      <c r="D179" s="6">
        <f t="shared" si="14"/>
        <v>8.8000000000000007</v>
      </c>
      <c r="E179">
        <v>8.8000000000000007</v>
      </c>
      <c r="F179">
        <v>8.8000000000000007</v>
      </c>
      <c r="G179" s="3">
        <f t="shared" si="10"/>
        <v>0</v>
      </c>
      <c r="H179" s="3">
        <f t="shared" si="11"/>
        <v>0</v>
      </c>
      <c r="I179" s="3">
        <f t="shared" si="12"/>
        <v>0</v>
      </c>
      <c r="J179" s="3">
        <f t="shared" si="13"/>
        <v>1</v>
      </c>
      <c r="K179" t="s">
        <v>8</v>
      </c>
      <c r="L179" t="s">
        <v>8</v>
      </c>
      <c r="M179" t="s">
        <v>8</v>
      </c>
      <c r="N179" t="s">
        <v>8</v>
      </c>
      <c r="O179" t="s">
        <v>8</v>
      </c>
      <c r="P179" t="s">
        <v>8</v>
      </c>
      <c r="Q179" t="s">
        <v>7</v>
      </c>
      <c r="R179" t="s">
        <v>8</v>
      </c>
      <c r="S179" t="s">
        <v>8</v>
      </c>
      <c r="T179" t="s">
        <v>8</v>
      </c>
      <c r="U179" t="s">
        <v>8</v>
      </c>
      <c r="V179" t="s">
        <v>8</v>
      </c>
      <c r="W179" t="s">
        <v>8</v>
      </c>
      <c r="X179" t="s">
        <v>8</v>
      </c>
      <c r="Y179" t="s">
        <v>8</v>
      </c>
      <c r="Z179" t="s">
        <v>8</v>
      </c>
      <c r="AA179" t="s">
        <v>8</v>
      </c>
      <c r="AB179">
        <v>8.8000000000000007</v>
      </c>
    </row>
    <row r="180" spans="1:28" x14ac:dyDescent="0.25">
      <c r="A180">
        <v>179</v>
      </c>
      <c r="B180" t="s">
        <v>287</v>
      </c>
      <c r="C180" t="s">
        <v>20</v>
      </c>
      <c r="D180" s="6">
        <f t="shared" si="14"/>
        <v>0</v>
      </c>
      <c r="E180">
        <v>0.5</v>
      </c>
      <c r="F180">
        <v>8.1999999999999993</v>
      </c>
      <c r="G180" s="3">
        <f t="shared" si="10"/>
        <v>0</v>
      </c>
      <c r="H180" s="3">
        <f t="shared" si="11"/>
        <v>0</v>
      </c>
      <c r="I180" s="3">
        <f t="shared" si="12"/>
        <v>0</v>
      </c>
      <c r="J180" s="3">
        <f t="shared" si="13"/>
        <v>16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1.7</v>
      </c>
      <c r="AA180" t="s">
        <v>8</v>
      </c>
      <c r="AB180">
        <v>6.5</v>
      </c>
    </row>
    <row r="181" spans="1:28" x14ac:dyDescent="0.25">
      <c r="A181">
        <v>180</v>
      </c>
      <c r="B181" t="s">
        <v>236</v>
      </c>
      <c r="C181" t="s">
        <v>12</v>
      </c>
      <c r="D181" s="6">
        <f t="shared" si="14"/>
        <v>0</v>
      </c>
      <c r="E181">
        <v>0.9</v>
      </c>
      <c r="F181">
        <v>8.1</v>
      </c>
      <c r="G181" s="3">
        <f t="shared" si="10"/>
        <v>0</v>
      </c>
      <c r="H181" s="3">
        <f t="shared" si="11"/>
        <v>0</v>
      </c>
      <c r="I181" s="3">
        <f t="shared" si="12"/>
        <v>0</v>
      </c>
      <c r="J181" s="3">
        <f t="shared" si="13"/>
        <v>9</v>
      </c>
      <c r="K181" t="s">
        <v>8</v>
      </c>
      <c r="L181">
        <v>0</v>
      </c>
      <c r="M181" t="s">
        <v>8</v>
      </c>
      <c r="N181" t="s">
        <v>8</v>
      </c>
      <c r="O181" t="s">
        <v>8</v>
      </c>
      <c r="P181" t="s">
        <v>8</v>
      </c>
      <c r="Q181" t="s">
        <v>8</v>
      </c>
      <c r="R181" t="s">
        <v>8</v>
      </c>
      <c r="S181">
        <v>0</v>
      </c>
      <c r="T181" t="s">
        <v>8</v>
      </c>
      <c r="U181">
        <v>0</v>
      </c>
      <c r="V181">
        <v>0</v>
      </c>
      <c r="W181" t="s">
        <v>7</v>
      </c>
      <c r="X181">
        <v>6</v>
      </c>
      <c r="Y181">
        <v>0</v>
      </c>
      <c r="Z181">
        <v>0</v>
      </c>
      <c r="AA181">
        <v>0</v>
      </c>
      <c r="AB181">
        <v>2.1</v>
      </c>
    </row>
    <row r="182" spans="1:28" x14ac:dyDescent="0.25">
      <c r="A182">
        <v>181</v>
      </c>
      <c r="B182" t="s">
        <v>261</v>
      </c>
      <c r="C182" t="s">
        <v>28</v>
      </c>
      <c r="D182" s="6">
        <f t="shared" si="14"/>
        <v>0</v>
      </c>
      <c r="E182">
        <v>1.6</v>
      </c>
      <c r="F182">
        <v>7.9</v>
      </c>
      <c r="G182" s="3">
        <f t="shared" si="10"/>
        <v>0</v>
      </c>
      <c r="H182" s="3">
        <f t="shared" si="11"/>
        <v>0</v>
      </c>
      <c r="I182" s="3">
        <f t="shared" si="12"/>
        <v>0</v>
      </c>
      <c r="J182" s="3">
        <f t="shared" si="13"/>
        <v>5</v>
      </c>
      <c r="K182" t="s">
        <v>8</v>
      </c>
      <c r="L182" t="s">
        <v>8</v>
      </c>
      <c r="M182" t="s">
        <v>8</v>
      </c>
      <c r="N182">
        <v>0</v>
      </c>
      <c r="O182" t="s">
        <v>8</v>
      </c>
      <c r="P182" t="s">
        <v>8</v>
      </c>
      <c r="Q182" t="s">
        <v>8</v>
      </c>
      <c r="R182">
        <v>7.9</v>
      </c>
      <c r="S182">
        <v>0</v>
      </c>
      <c r="T182">
        <v>0</v>
      </c>
      <c r="U182">
        <v>0</v>
      </c>
      <c r="V182" t="s">
        <v>8</v>
      </c>
      <c r="W182" t="s">
        <v>8</v>
      </c>
      <c r="X182" t="s">
        <v>7</v>
      </c>
      <c r="Y182" t="s">
        <v>8</v>
      </c>
      <c r="Z182" t="s">
        <v>8</v>
      </c>
      <c r="AA182" t="s">
        <v>8</v>
      </c>
      <c r="AB182" t="s">
        <v>8</v>
      </c>
    </row>
    <row r="183" spans="1:28" x14ac:dyDescent="0.25">
      <c r="A183">
        <v>182</v>
      </c>
      <c r="B183" t="s">
        <v>260</v>
      </c>
      <c r="C183" t="s">
        <v>43</v>
      </c>
      <c r="D183" s="6">
        <f t="shared" si="14"/>
        <v>0</v>
      </c>
      <c r="E183">
        <v>0.6</v>
      </c>
      <c r="F183">
        <v>7.3</v>
      </c>
      <c r="G183" s="3">
        <f t="shared" si="10"/>
        <v>0</v>
      </c>
      <c r="H183" s="3">
        <f t="shared" si="11"/>
        <v>0</v>
      </c>
      <c r="I183" s="3">
        <f t="shared" si="12"/>
        <v>0</v>
      </c>
      <c r="J183" s="3">
        <f t="shared" si="13"/>
        <v>13</v>
      </c>
      <c r="K183">
        <v>0</v>
      </c>
      <c r="L183">
        <v>1.5</v>
      </c>
      <c r="M183">
        <v>0</v>
      </c>
      <c r="N183">
        <v>2.8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0</v>
      </c>
      <c r="V183">
        <v>0</v>
      </c>
      <c r="W183" t="s">
        <v>7</v>
      </c>
      <c r="X183">
        <v>0</v>
      </c>
      <c r="Y183" t="s">
        <v>8</v>
      </c>
      <c r="Z183" t="s">
        <v>8</v>
      </c>
      <c r="AA183" t="s">
        <v>8</v>
      </c>
      <c r="AB183" t="s">
        <v>8</v>
      </c>
    </row>
    <row r="184" spans="1:28" x14ac:dyDescent="0.25">
      <c r="A184">
        <v>183</v>
      </c>
      <c r="B184" t="s">
        <v>364</v>
      </c>
      <c r="C184" t="s">
        <v>6</v>
      </c>
      <c r="D184" s="6">
        <f t="shared" si="14"/>
        <v>0</v>
      </c>
      <c r="E184">
        <v>0.8</v>
      </c>
      <c r="F184">
        <v>6.8</v>
      </c>
      <c r="G184" s="3">
        <f t="shared" si="10"/>
        <v>0</v>
      </c>
      <c r="H184" s="3">
        <f t="shared" si="11"/>
        <v>0</v>
      </c>
      <c r="I184" s="3">
        <f t="shared" si="12"/>
        <v>0</v>
      </c>
      <c r="J184" s="3">
        <f t="shared" si="13"/>
        <v>9</v>
      </c>
      <c r="K184" t="s">
        <v>8</v>
      </c>
      <c r="L184" t="s">
        <v>8</v>
      </c>
      <c r="M184" t="s">
        <v>8</v>
      </c>
      <c r="N184" t="s">
        <v>8</v>
      </c>
      <c r="O184" t="s">
        <v>8</v>
      </c>
      <c r="P184">
        <v>0</v>
      </c>
      <c r="Q184">
        <v>0</v>
      </c>
      <c r="R184">
        <v>0</v>
      </c>
      <c r="S184" t="s">
        <v>8</v>
      </c>
      <c r="T184">
        <v>0</v>
      </c>
      <c r="U184" t="s">
        <v>8</v>
      </c>
      <c r="V184" t="s">
        <v>8</v>
      </c>
      <c r="W184" t="s">
        <v>8</v>
      </c>
      <c r="X184">
        <v>0</v>
      </c>
      <c r="Y184">
        <v>0</v>
      </c>
      <c r="Z184">
        <v>6.8</v>
      </c>
      <c r="AA184">
        <v>0</v>
      </c>
      <c r="AB184">
        <v>0</v>
      </c>
    </row>
    <row r="185" spans="1:28" x14ac:dyDescent="0.25">
      <c r="A185">
        <v>184</v>
      </c>
      <c r="B185" t="s">
        <v>587</v>
      </c>
      <c r="C185" t="s">
        <v>90</v>
      </c>
      <c r="D185" s="6">
        <f t="shared" si="14"/>
        <v>0.8</v>
      </c>
      <c r="E185">
        <v>1.3</v>
      </c>
      <c r="F185">
        <v>6.5</v>
      </c>
      <c r="G185" s="3">
        <f t="shared" si="10"/>
        <v>0</v>
      </c>
      <c r="H185" s="3">
        <f t="shared" si="11"/>
        <v>0</v>
      </c>
      <c r="I185" s="3">
        <f t="shared" si="12"/>
        <v>0</v>
      </c>
      <c r="J185" s="3">
        <f t="shared" si="13"/>
        <v>5</v>
      </c>
      <c r="K185">
        <v>0.8</v>
      </c>
      <c r="L185">
        <v>0</v>
      </c>
      <c r="M185" t="s">
        <v>8</v>
      </c>
      <c r="N185">
        <v>0</v>
      </c>
      <c r="O185">
        <v>4.2</v>
      </c>
      <c r="P185">
        <v>1.5</v>
      </c>
      <c r="Q185" t="s">
        <v>8</v>
      </c>
      <c r="R185" t="s">
        <v>8</v>
      </c>
      <c r="S185" t="s">
        <v>8</v>
      </c>
      <c r="T185" t="s">
        <v>8</v>
      </c>
      <c r="U185" t="s">
        <v>8</v>
      </c>
      <c r="V185" t="s">
        <v>8</v>
      </c>
      <c r="W185" t="s">
        <v>8</v>
      </c>
      <c r="X185" t="s">
        <v>8</v>
      </c>
      <c r="Y185" t="s">
        <v>8</v>
      </c>
      <c r="Z185" t="s">
        <v>8</v>
      </c>
      <c r="AA185" t="s">
        <v>8</v>
      </c>
      <c r="AB185" t="s">
        <v>8</v>
      </c>
    </row>
    <row r="186" spans="1:28" x14ac:dyDescent="0.25">
      <c r="A186">
        <v>185</v>
      </c>
      <c r="B186" t="s">
        <v>190</v>
      </c>
      <c r="C186" t="s">
        <v>38</v>
      </c>
      <c r="D186" s="6">
        <f t="shared" si="14"/>
        <v>0</v>
      </c>
      <c r="E186">
        <v>1</v>
      </c>
      <c r="F186">
        <v>5.9</v>
      </c>
      <c r="G186" s="3">
        <f t="shared" si="10"/>
        <v>0</v>
      </c>
      <c r="H186" s="3">
        <f t="shared" si="11"/>
        <v>0</v>
      </c>
      <c r="I186" s="3">
        <f t="shared" si="12"/>
        <v>0</v>
      </c>
      <c r="J186" s="3">
        <f t="shared" si="13"/>
        <v>6</v>
      </c>
      <c r="K186">
        <v>0</v>
      </c>
      <c r="L186">
        <v>0</v>
      </c>
      <c r="M186" t="s">
        <v>8</v>
      </c>
      <c r="N186" t="s">
        <v>8</v>
      </c>
      <c r="O186" t="s">
        <v>8</v>
      </c>
      <c r="P186" t="s">
        <v>8</v>
      </c>
      <c r="Q186" t="s">
        <v>8</v>
      </c>
      <c r="R186" t="s">
        <v>8</v>
      </c>
      <c r="S186" t="s">
        <v>8</v>
      </c>
      <c r="T186">
        <v>2.6</v>
      </c>
      <c r="U186">
        <v>0</v>
      </c>
      <c r="V186">
        <v>0</v>
      </c>
      <c r="W186" t="s">
        <v>7</v>
      </c>
      <c r="X186">
        <v>3.3</v>
      </c>
      <c r="Y186" t="s">
        <v>8</v>
      </c>
      <c r="Z186" t="s">
        <v>8</v>
      </c>
      <c r="AA186" t="s">
        <v>8</v>
      </c>
      <c r="AB186" t="s">
        <v>8</v>
      </c>
    </row>
    <row r="187" spans="1:28" x14ac:dyDescent="0.25">
      <c r="A187">
        <v>185</v>
      </c>
      <c r="B187" t="s">
        <v>334</v>
      </c>
      <c r="C187" t="s">
        <v>55</v>
      </c>
      <c r="D187" s="6">
        <f t="shared" si="14"/>
        <v>0</v>
      </c>
      <c r="E187">
        <v>0.4</v>
      </c>
      <c r="F187">
        <v>5.9</v>
      </c>
      <c r="G187" s="3">
        <f t="shared" si="10"/>
        <v>0</v>
      </c>
      <c r="H187" s="3">
        <f t="shared" si="11"/>
        <v>0</v>
      </c>
      <c r="I187" s="3">
        <f t="shared" si="12"/>
        <v>0</v>
      </c>
      <c r="J187" s="3">
        <f t="shared" si="13"/>
        <v>14</v>
      </c>
      <c r="K187">
        <v>0</v>
      </c>
      <c r="L187">
        <v>1.9</v>
      </c>
      <c r="M187">
        <v>0</v>
      </c>
      <c r="N187">
        <v>4</v>
      </c>
      <c r="O187">
        <v>0</v>
      </c>
      <c r="P187">
        <v>0</v>
      </c>
      <c r="Q187" t="s">
        <v>8</v>
      </c>
      <c r="R187">
        <v>0</v>
      </c>
      <c r="S187">
        <v>0</v>
      </c>
      <c r="T187">
        <v>0</v>
      </c>
      <c r="U187" t="s">
        <v>8</v>
      </c>
      <c r="V187">
        <v>0</v>
      </c>
      <c r="W187" t="s">
        <v>7</v>
      </c>
      <c r="X187" t="s">
        <v>8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187</v>
      </c>
      <c r="B188" t="s">
        <v>370</v>
      </c>
      <c r="C188" t="s">
        <v>53</v>
      </c>
      <c r="D188" s="6">
        <f t="shared" si="14"/>
        <v>1.1000000000000001</v>
      </c>
      <c r="E188">
        <v>1.9</v>
      </c>
      <c r="F188">
        <v>5.6</v>
      </c>
      <c r="G188" s="3">
        <f t="shared" si="10"/>
        <v>0</v>
      </c>
      <c r="H188" s="3">
        <f t="shared" si="11"/>
        <v>0</v>
      </c>
      <c r="I188" s="3">
        <f t="shared" si="12"/>
        <v>0</v>
      </c>
      <c r="J188" s="3">
        <f t="shared" si="13"/>
        <v>3</v>
      </c>
      <c r="K188" t="s">
        <v>8</v>
      </c>
      <c r="L188" t="s">
        <v>8</v>
      </c>
      <c r="M188" t="s">
        <v>8</v>
      </c>
      <c r="N188" t="s">
        <v>8</v>
      </c>
      <c r="O188" t="s">
        <v>7</v>
      </c>
      <c r="P188" t="s">
        <v>8</v>
      </c>
      <c r="Q188" t="s">
        <v>8</v>
      </c>
      <c r="R188" t="s">
        <v>8</v>
      </c>
      <c r="S188" t="s">
        <v>8</v>
      </c>
      <c r="T188" t="s">
        <v>8</v>
      </c>
      <c r="U188">
        <v>4.5</v>
      </c>
      <c r="V188">
        <v>0</v>
      </c>
      <c r="W188" t="s">
        <v>8</v>
      </c>
      <c r="X188" t="s">
        <v>8</v>
      </c>
      <c r="Y188">
        <v>1.1000000000000001</v>
      </c>
      <c r="Z188" t="s">
        <v>8</v>
      </c>
      <c r="AA188" t="s">
        <v>8</v>
      </c>
      <c r="AB188" t="s">
        <v>8</v>
      </c>
    </row>
    <row r="189" spans="1:28" x14ac:dyDescent="0.25">
      <c r="A189">
        <v>188</v>
      </c>
      <c r="B189" t="s">
        <v>586</v>
      </c>
      <c r="C189" t="s">
        <v>60</v>
      </c>
      <c r="D189" s="6">
        <f t="shared" si="14"/>
        <v>0</v>
      </c>
      <c r="E189">
        <v>1.4</v>
      </c>
      <c r="F189">
        <v>5.5</v>
      </c>
      <c r="G189" s="3">
        <f t="shared" si="10"/>
        <v>0</v>
      </c>
      <c r="H189" s="3">
        <f t="shared" si="11"/>
        <v>0</v>
      </c>
      <c r="I189" s="3">
        <f t="shared" si="12"/>
        <v>0</v>
      </c>
      <c r="J189" s="3">
        <f t="shared" si="13"/>
        <v>4</v>
      </c>
      <c r="K189" t="s">
        <v>8</v>
      </c>
      <c r="L189" t="s">
        <v>8</v>
      </c>
      <c r="M189" t="s">
        <v>8</v>
      </c>
      <c r="N189" t="s">
        <v>8</v>
      </c>
      <c r="O189" t="s">
        <v>8</v>
      </c>
      <c r="P189" t="s">
        <v>8</v>
      </c>
      <c r="Q189" t="s">
        <v>8</v>
      </c>
      <c r="R189" t="s">
        <v>8</v>
      </c>
      <c r="S189" t="s">
        <v>8</v>
      </c>
      <c r="T189">
        <v>5.5</v>
      </c>
      <c r="U189">
        <v>0</v>
      </c>
      <c r="V189" t="s">
        <v>8</v>
      </c>
      <c r="W189">
        <v>0</v>
      </c>
      <c r="X189">
        <v>0</v>
      </c>
      <c r="Y189" t="s">
        <v>8</v>
      </c>
      <c r="Z189" t="s">
        <v>8</v>
      </c>
      <c r="AA189" t="s">
        <v>8</v>
      </c>
      <c r="AB189" t="s">
        <v>8</v>
      </c>
    </row>
    <row r="190" spans="1:28" x14ac:dyDescent="0.25">
      <c r="A190">
        <v>189</v>
      </c>
      <c r="B190" t="s">
        <v>360</v>
      </c>
      <c r="C190" t="s">
        <v>28</v>
      </c>
      <c r="D190" s="6">
        <f t="shared" si="14"/>
        <v>0</v>
      </c>
      <c r="E190">
        <v>1</v>
      </c>
      <c r="F190">
        <v>4.9000000000000004</v>
      </c>
      <c r="G190" s="3">
        <f t="shared" si="10"/>
        <v>0</v>
      </c>
      <c r="H190" s="3">
        <f t="shared" si="11"/>
        <v>0</v>
      </c>
      <c r="I190" s="3">
        <f t="shared" si="12"/>
        <v>0</v>
      </c>
      <c r="J190" s="3">
        <f t="shared" si="13"/>
        <v>5</v>
      </c>
      <c r="K190" t="s">
        <v>8</v>
      </c>
      <c r="L190" t="s">
        <v>8</v>
      </c>
      <c r="M190" t="s">
        <v>8</v>
      </c>
      <c r="N190" t="s">
        <v>8</v>
      </c>
      <c r="O190" t="s">
        <v>8</v>
      </c>
      <c r="P190">
        <v>0</v>
      </c>
      <c r="Q190">
        <v>1.7</v>
      </c>
      <c r="R190">
        <v>0</v>
      </c>
      <c r="S190">
        <v>3.2</v>
      </c>
      <c r="T190">
        <v>0</v>
      </c>
      <c r="U190" t="s">
        <v>8</v>
      </c>
      <c r="V190" t="s">
        <v>8</v>
      </c>
      <c r="W190" t="s">
        <v>8</v>
      </c>
      <c r="X190" t="s">
        <v>7</v>
      </c>
      <c r="Y190" t="s">
        <v>8</v>
      </c>
      <c r="Z190" t="s">
        <v>8</v>
      </c>
      <c r="AA190" t="s">
        <v>8</v>
      </c>
      <c r="AB190" t="s">
        <v>8</v>
      </c>
    </row>
    <row r="191" spans="1:28" x14ac:dyDescent="0.25">
      <c r="A191">
        <v>189</v>
      </c>
      <c r="B191" t="s">
        <v>307</v>
      </c>
      <c r="C191" t="s">
        <v>66</v>
      </c>
      <c r="D191" s="6">
        <f t="shared" si="14"/>
        <v>0</v>
      </c>
      <c r="E191">
        <v>0.3</v>
      </c>
      <c r="F191">
        <v>4.9000000000000004</v>
      </c>
      <c r="G191" s="3">
        <f t="shared" si="10"/>
        <v>0</v>
      </c>
      <c r="H191" s="3">
        <f t="shared" si="11"/>
        <v>0</v>
      </c>
      <c r="I191" s="3">
        <f t="shared" si="12"/>
        <v>0</v>
      </c>
      <c r="J191" s="3">
        <f t="shared" si="13"/>
        <v>15</v>
      </c>
      <c r="K191" t="s">
        <v>8</v>
      </c>
      <c r="L191">
        <v>0</v>
      </c>
      <c r="M191" t="s">
        <v>8</v>
      </c>
      <c r="N191">
        <v>0</v>
      </c>
      <c r="O191">
        <v>0</v>
      </c>
      <c r="P191">
        <v>-2</v>
      </c>
      <c r="Q191">
        <v>0</v>
      </c>
      <c r="R191">
        <v>0</v>
      </c>
      <c r="S191">
        <v>1.6</v>
      </c>
      <c r="T191" t="s">
        <v>8</v>
      </c>
      <c r="U191">
        <v>5.3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>
        <v>191</v>
      </c>
      <c r="B192" t="s">
        <v>588</v>
      </c>
      <c r="C192" t="s">
        <v>43</v>
      </c>
      <c r="D192" s="6">
        <f t="shared" si="14"/>
        <v>0</v>
      </c>
      <c r="E192">
        <v>0.3</v>
      </c>
      <c r="F192">
        <v>4.7</v>
      </c>
      <c r="G192" s="3">
        <f t="shared" si="10"/>
        <v>0</v>
      </c>
      <c r="H192" s="3">
        <f t="shared" si="11"/>
        <v>0</v>
      </c>
      <c r="I192" s="3">
        <f t="shared" si="12"/>
        <v>0</v>
      </c>
      <c r="J192" s="3">
        <f t="shared" si="13"/>
        <v>15</v>
      </c>
      <c r="K192">
        <v>0</v>
      </c>
      <c r="L192">
        <v>1.5</v>
      </c>
      <c r="M192" t="s">
        <v>8</v>
      </c>
      <c r="N192">
        <v>0</v>
      </c>
      <c r="O192">
        <v>0</v>
      </c>
      <c r="P192" t="s">
        <v>8</v>
      </c>
      <c r="Q192" t="s">
        <v>8</v>
      </c>
      <c r="R192">
        <v>0</v>
      </c>
      <c r="S192">
        <v>1.6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1.6</v>
      </c>
      <c r="AA192">
        <v>0</v>
      </c>
      <c r="AB192">
        <v>0</v>
      </c>
    </row>
    <row r="193" spans="1:28" x14ac:dyDescent="0.25">
      <c r="A193">
        <v>192</v>
      </c>
      <c r="B193" t="s">
        <v>181</v>
      </c>
      <c r="C193" t="s">
        <v>57</v>
      </c>
      <c r="D193" s="6">
        <f t="shared" si="14"/>
        <v>0</v>
      </c>
      <c r="E193">
        <v>0.8</v>
      </c>
      <c r="F193">
        <v>3.9</v>
      </c>
      <c r="G193" s="3">
        <f t="shared" si="10"/>
        <v>0</v>
      </c>
      <c r="H193" s="3">
        <f t="shared" si="11"/>
        <v>0</v>
      </c>
      <c r="I193" s="3">
        <f t="shared" si="12"/>
        <v>0</v>
      </c>
      <c r="J193" s="3">
        <f t="shared" si="13"/>
        <v>5</v>
      </c>
      <c r="K193">
        <v>0</v>
      </c>
      <c r="L193" t="s">
        <v>8</v>
      </c>
      <c r="M193" t="s">
        <v>8</v>
      </c>
      <c r="N193" t="s">
        <v>8</v>
      </c>
      <c r="O193" t="s">
        <v>8</v>
      </c>
      <c r="P193" t="s">
        <v>8</v>
      </c>
      <c r="Q193" t="s">
        <v>8</v>
      </c>
      <c r="R193" t="s">
        <v>8</v>
      </c>
      <c r="S193" t="s">
        <v>8</v>
      </c>
      <c r="T193">
        <v>2.1</v>
      </c>
      <c r="U193" t="s">
        <v>7</v>
      </c>
      <c r="V193">
        <v>1.8</v>
      </c>
      <c r="W193" t="s">
        <v>8</v>
      </c>
      <c r="X193" t="s">
        <v>8</v>
      </c>
      <c r="Y193" t="s">
        <v>8</v>
      </c>
      <c r="Z193">
        <v>0</v>
      </c>
      <c r="AA193" t="s">
        <v>8</v>
      </c>
      <c r="AB193">
        <v>0</v>
      </c>
    </row>
    <row r="194" spans="1:28" x14ac:dyDescent="0.25">
      <c r="A194">
        <v>193</v>
      </c>
      <c r="B194" t="s">
        <v>590</v>
      </c>
      <c r="C194" t="s">
        <v>90</v>
      </c>
      <c r="D194" s="6">
        <f t="shared" si="14"/>
        <v>0.75</v>
      </c>
      <c r="E194">
        <v>0.9</v>
      </c>
      <c r="F194">
        <v>3.4</v>
      </c>
      <c r="G194" s="3">
        <f t="shared" ref="G194:G246" si="15">COUNTIFS(K194:AB194,"&gt;=10",K194:AB194,"&lt;=99")</f>
        <v>0</v>
      </c>
      <c r="H194" s="3">
        <f t="shared" ref="H194:H246" si="16">COUNTIFS(K194:AB194,"&gt;=20",K194:AB194,"&lt;=99")</f>
        <v>0</v>
      </c>
      <c r="I194" s="3">
        <f t="shared" ref="I194:I246" si="17">COUNTIFS(K194:AB194,"&gt;=30",K194:AB194,"&lt;=99")</f>
        <v>0</v>
      </c>
      <c r="J194" s="3">
        <f t="shared" ref="J194:J246" si="18">COUNT(K194:AB194)</f>
        <v>4</v>
      </c>
      <c r="K194" t="s">
        <v>8</v>
      </c>
      <c r="L194" t="s">
        <v>8</v>
      </c>
      <c r="M194" t="s">
        <v>8</v>
      </c>
      <c r="N194">
        <v>1.9</v>
      </c>
      <c r="O194" t="s">
        <v>8</v>
      </c>
      <c r="P194" t="s">
        <v>8</v>
      </c>
      <c r="Q194" t="s">
        <v>8</v>
      </c>
      <c r="R194">
        <v>0</v>
      </c>
      <c r="S194" t="s">
        <v>8</v>
      </c>
      <c r="T194">
        <v>0</v>
      </c>
      <c r="U194" t="s">
        <v>8</v>
      </c>
      <c r="V194" t="s">
        <v>8</v>
      </c>
      <c r="W194" t="s">
        <v>8</v>
      </c>
      <c r="X194" t="s">
        <v>8</v>
      </c>
      <c r="Y194" t="s">
        <v>8</v>
      </c>
      <c r="Z194">
        <v>1.5</v>
      </c>
      <c r="AA194" t="s">
        <v>8</v>
      </c>
      <c r="AB194" t="s">
        <v>8</v>
      </c>
    </row>
    <row r="195" spans="1:28" x14ac:dyDescent="0.25">
      <c r="A195">
        <v>194</v>
      </c>
      <c r="B195" t="s">
        <v>591</v>
      </c>
      <c r="C195" t="s">
        <v>10</v>
      </c>
      <c r="D195" s="6">
        <f t="shared" ref="D195:D246" si="19">MEDIAN(K195:AB195)</f>
        <v>1.6</v>
      </c>
      <c r="E195">
        <v>1.1000000000000001</v>
      </c>
      <c r="F195">
        <v>3.3</v>
      </c>
      <c r="G195" s="3">
        <f t="shared" si="15"/>
        <v>0</v>
      </c>
      <c r="H195" s="3">
        <f t="shared" si="16"/>
        <v>0</v>
      </c>
      <c r="I195" s="3">
        <f t="shared" si="17"/>
        <v>0</v>
      </c>
      <c r="J195" s="3">
        <f t="shared" si="18"/>
        <v>3</v>
      </c>
      <c r="K195" t="s">
        <v>8</v>
      </c>
      <c r="L195" t="s">
        <v>8</v>
      </c>
      <c r="M195" t="s">
        <v>8</v>
      </c>
      <c r="N195" t="s">
        <v>8</v>
      </c>
      <c r="O195" t="s">
        <v>8</v>
      </c>
      <c r="P195" t="s">
        <v>8</v>
      </c>
      <c r="Q195" t="s">
        <v>8</v>
      </c>
      <c r="R195">
        <v>0</v>
      </c>
      <c r="S195">
        <v>1.7</v>
      </c>
      <c r="T195">
        <v>1.6</v>
      </c>
      <c r="U195" t="s">
        <v>8</v>
      </c>
      <c r="V195" t="s">
        <v>8</v>
      </c>
      <c r="W195" t="s">
        <v>8</v>
      </c>
      <c r="X195" t="s">
        <v>8</v>
      </c>
      <c r="Y195" t="s">
        <v>8</v>
      </c>
      <c r="Z195" t="s">
        <v>8</v>
      </c>
      <c r="AA195" t="s">
        <v>8</v>
      </c>
      <c r="AB195" t="s">
        <v>8</v>
      </c>
    </row>
    <row r="196" spans="1:28" x14ac:dyDescent="0.25">
      <c r="A196">
        <v>195</v>
      </c>
      <c r="B196" t="s">
        <v>589</v>
      </c>
      <c r="C196" t="s">
        <v>55</v>
      </c>
      <c r="D196" s="6">
        <f t="shared" si="19"/>
        <v>0</v>
      </c>
      <c r="E196">
        <v>0.3</v>
      </c>
      <c r="F196">
        <v>3</v>
      </c>
      <c r="G196" s="3">
        <f t="shared" si="15"/>
        <v>0</v>
      </c>
      <c r="H196" s="3">
        <f t="shared" si="16"/>
        <v>0</v>
      </c>
      <c r="I196" s="3">
        <f t="shared" si="17"/>
        <v>0</v>
      </c>
      <c r="J196" s="3">
        <f t="shared" si="18"/>
        <v>12</v>
      </c>
      <c r="K196" t="s">
        <v>8</v>
      </c>
      <c r="L196">
        <v>-1</v>
      </c>
      <c r="M196" t="s">
        <v>8</v>
      </c>
      <c r="N196" t="s">
        <v>8</v>
      </c>
      <c r="O196">
        <v>-2</v>
      </c>
      <c r="P196" t="s">
        <v>8</v>
      </c>
      <c r="Q196" t="s">
        <v>8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7</v>
      </c>
      <c r="X196">
        <v>0</v>
      </c>
      <c r="Y196">
        <v>0</v>
      </c>
      <c r="Z196">
        <v>0</v>
      </c>
      <c r="AA196">
        <v>6</v>
      </c>
      <c r="AB196">
        <v>0</v>
      </c>
    </row>
    <row r="197" spans="1:28" x14ac:dyDescent="0.25">
      <c r="A197">
        <v>196</v>
      </c>
      <c r="B197" t="s">
        <v>335</v>
      </c>
      <c r="C197" t="s">
        <v>24</v>
      </c>
      <c r="D197" s="6">
        <f t="shared" si="19"/>
        <v>0</v>
      </c>
      <c r="E197">
        <v>0.7</v>
      </c>
      <c r="F197">
        <v>2.6</v>
      </c>
      <c r="G197" s="3">
        <f t="shared" si="15"/>
        <v>0</v>
      </c>
      <c r="H197" s="3">
        <f t="shared" si="16"/>
        <v>0</v>
      </c>
      <c r="I197" s="3">
        <f t="shared" si="17"/>
        <v>0</v>
      </c>
      <c r="J197" s="3">
        <f t="shared" si="18"/>
        <v>4</v>
      </c>
      <c r="K197" t="s">
        <v>8</v>
      </c>
      <c r="L197" t="s">
        <v>8</v>
      </c>
      <c r="M197" t="s">
        <v>8</v>
      </c>
      <c r="N197">
        <v>0</v>
      </c>
      <c r="O197">
        <v>0</v>
      </c>
      <c r="P197" t="s">
        <v>8</v>
      </c>
      <c r="Q197" t="s">
        <v>8</v>
      </c>
      <c r="R197" t="s">
        <v>8</v>
      </c>
      <c r="S197" t="s">
        <v>8</v>
      </c>
      <c r="T197" t="s">
        <v>8</v>
      </c>
      <c r="U197" t="s">
        <v>7</v>
      </c>
      <c r="V197" t="s">
        <v>8</v>
      </c>
      <c r="W197" t="s">
        <v>8</v>
      </c>
      <c r="X197" t="s">
        <v>8</v>
      </c>
      <c r="Y197" t="s">
        <v>8</v>
      </c>
      <c r="Z197" t="s">
        <v>8</v>
      </c>
      <c r="AA197">
        <v>0</v>
      </c>
      <c r="AB197">
        <v>2.6</v>
      </c>
    </row>
    <row r="198" spans="1:28" x14ac:dyDescent="0.25">
      <c r="A198">
        <v>197</v>
      </c>
      <c r="B198" t="s">
        <v>359</v>
      </c>
      <c r="C198" t="s">
        <v>18</v>
      </c>
      <c r="D198" s="6">
        <f t="shared" si="19"/>
        <v>1.1000000000000001</v>
      </c>
      <c r="E198">
        <v>1.1000000000000001</v>
      </c>
      <c r="F198">
        <v>2.2000000000000002</v>
      </c>
      <c r="G198" s="3">
        <f t="shared" si="15"/>
        <v>0</v>
      </c>
      <c r="H198" s="3">
        <f t="shared" si="16"/>
        <v>0</v>
      </c>
      <c r="I198" s="3">
        <f t="shared" si="17"/>
        <v>0</v>
      </c>
      <c r="J198" s="3">
        <f t="shared" si="18"/>
        <v>2</v>
      </c>
      <c r="K198">
        <v>1.7</v>
      </c>
      <c r="L198">
        <v>0.5</v>
      </c>
      <c r="M198" t="s">
        <v>8</v>
      </c>
      <c r="N198" t="s">
        <v>8</v>
      </c>
      <c r="O198" t="s">
        <v>8</v>
      </c>
      <c r="P198" t="s">
        <v>8</v>
      </c>
      <c r="Q198" t="s">
        <v>8</v>
      </c>
      <c r="R198" t="s">
        <v>8</v>
      </c>
      <c r="S198" t="s">
        <v>8</v>
      </c>
      <c r="T198" t="s">
        <v>7</v>
      </c>
      <c r="U198" t="s">
        <v>8</v>
      </c>
      <c r="V198" t="s">
        <v>8</v>
      </c>
      <c r="W198" t="s">
        <v>8</v>
      </c>
      <c r="X198" t="s">
        <v>8</v>
      </c>
      <c r="Y198" t="s">
        <v>8</v>
      </c>
      <c r="Z198" t="s">
        <v>8</v>
      </c>
      <c r="AA198" t="s">
        <v>8</v>
      </c>
      <c r="AB198" t="s">
        <v>8</v>
      </c>
    </row>
    <row r="199" spans="1:28" x14ac:dyDescent="0.25">
      <c r="A199">
        <v>198</v>
      </c>
      <c r="B199" t="s">
        <v>325</v>
      </c>
      <c r="C199" t="s">
        <v>97</v>
      </c>
      <c r="D199" s="6">
        <f t="shared" si="19"/>
        <v>0</v>
      </c>
      <c r="E199">
        <v>0.7</v>
      </c>
      <c r="F199">
        <v>2.1</v>
      </c>
      <c r="G199" s="3">
        <f t="shared" si="15"/>
        <v>0</v>
      </c>
      <c r="H199" s="3">
        <f t="shared" si="16"/>
        <v>0</v>
      </c>
      <c r="I199" s="3">
        <f t="shared" si="17"/>
        <v>0</v>
      </c>
      <c r="J199" s="3">
        <f t="shared" si="18"/>
        <v>3</v>
      </c>
      <c r="K199" t="s">
        <v>8</v>
      </c>
      <c r="L199" t="s">
        <v>8</v>
      </c>
      <c r="M199" t="s">
        <v>8</v>
      </c>
      <c r="N199" t="s">
        <v>8</v>
      </c>
      <c r="O199" t="s">
        <v>8</v>
      </c>
      <c r="P199" t="s">
        <v>8</v>
      </c>
      <c r="Q199" t="s">
        <v>8</v>
      </c>
      <c r="R199" t="s">
        <v>8</v>
      </c>
      <c r="S199" t="s">
        <v>8</v>
      </c>
      <c r="T199" t="s">
        <v>8</v>
      </c>
      <c r="U199" t="s">
        <v>8</v>
      </c>
      <c r="V199" t="s">
        <v>8</v>
      </c>
      <c r="W199" t="s">
        <v>7</v>
      </c>
      <c r="X199" t="s">
        <v>8</v>
      </c>
      <c r="Y199" t="s">
        <v>8</v>
      </c>
      <c r="Z199">
        <v>0</v>
      </c>
      <c r="AA199">
        <v>2.1</v>
      </c>
      <c r="AB199">
        <v>0</v>
      </c>
    </row>
    <row r="200" spans="1:28" x14ac:dyDescent="0.25">
      <c r="A200">
        <v>199</v>
      </c>
      <c r="B200" t="s">
        <v>361</v>
      </c>
      <c r="C200" t="s">
        <v>34</v>
      </c>
      <c r="D200" s="6">
        <f t="shared" si="19"/>
        <v>0</v>
      </c>
      <c r="E200">
        <v>0.7</v>
      </c>
      <c r="F200">
        <v>2</v>
      </c>
      <c r="G200" s="3">
        <f t="shared" si="15"/>
        <v>0</v>
      </c>
      <c r="H200" s="3">
        <f t="shared" si="16"/>
        <v>0</v>
      </c>
      <c r="I200" s="3">
        <f t="shared" si="17"/>
        <v>0</v>
      </c>
      <c r="J200" s="3">
        <f t="shared" si="18"/>
        <v>3</v>
      </c>
      <c r="K200" t="s">
        <v>8</v>
      </c>
      <c r="L200" t="s">
        <v>8</v>
      </c>
      <c r="M200" t="s">
        <v>8</v>
      </c>
      <c r="N200">
        <v>2</v>
      </c>
      <c r="O200" t="s">
        <v>7</v>
      </c>
      <c r="P200">
        <v>0</v>
      </c>
      <c r="Q200">
        <v>0</v>
      </c>
      <c r="R200" t="s">
        <v>8</v>
      </c>
      <c r="S200" t="s">
        <v>8</v>
      </c>
      <c r="T200" t="s">
        <v>8</v>
      </c>
      <c r="U200" t="s">
        <v>8</v>
      </c>
      <c r="V200" t="s">
        <v>8</v>
      </c>
      <c r="W200" t="s">
        <v>8</v>
      </c>
      <c r="X200" t="s">
        <v>8</v>
      </c>
      <c r="Y200" t="s">
        <v>8</v>
      </c>
      <c r="Z200" t="s">
        <v>8</v>
      </c>
      <c r="AA200" t="s">
        <v>8</v>
      </c>
      <c r="AB200" t="s">
        <v>8</v>
      </c>
    </row>
    <row r="201" spans="1:28" x14ac:dyDescent="0.25">
      <c r="A201">
        <v>200</v>
      </c>
      <c r="B201" t="s">
        <v>309</v>
      </c>
      <c r="C201" t="s">
        <v>47</v>
      </c>
      <c r="D201" s="6">
        <f t="shared" si="19"/>
        <v>0</v>
      </c>
      <c r="E201">
        <v>0.3</v>
      </c>
      <c r="F201">
        <v>1.6</v>
      </c>
      <c r="G201" s="3">
        <f t="shared" si="15"/>
        <v>0</v>
      </c>
      <c r="H201" s="3">
        <f t="shared" si="16"/>
        <v>0</v>
      </c>
      <c r="I201" s="3">
        <f t="shared" si="17"/>
        <v>0</v>
      </c>
      <c r="J201" s="3">
        <f t="shared" si="18"/>
        <v>6</v>
      </c>
      <c r="K201" t="s">
        <v>8</v>
      </c>
      <c r="L201" t="s">
        <v>8</v>
      </c>
      <c r="M201">
        <v>0</v>
      </c>
      <c r="N201">
        <v>0</v>
      </c>
      <c r="O201" t="s">
        <v>8</v>
      </c>
      <c r="P201" t="s">
        <v>8</v>
      </c>
      <c r="Q201" t="s">
        <v>7</v>
      </c>
      <c r="R201" t="s">
        <v>8</v>
      </c>
      <c r="S201" t="s">
        <v>8</v>
      </c>
      <c r="T201" t="s">
        <v>8</v>
      </c>
      <c r="U201" t="s">
        <v>8</v>
      </c>
      <c r="V201" t="s">
        <v>8</v>
      </c>
      <c r="W201" t="s">
        <v>8</v>
      </c>
      <c r="X201" t="s">
        <v>8</v>
      </c>
      <c r="Y201">
        <v>0</v>
      </c>
      <c r="Z201">
        <v>1.6</v>
      </c>
      <c r="AA201">
        <v>0</v>
      </c>
      <c r="AB201">
        <v>0</v>
      </c>
    </row>
    <row r="202" spans="1:28" x14ac:dyDescent="0.25">
      <c r="A202">
        <v>201</v>
      </c>
      <c r="B202" t="s">
        <v>592</v>
      </c>
      <c r="C202" t="s">
        <v>90</v>
      </c>
      <c r="D202" s="6">
        <f t="shared" si="19"/>
        <v>0</v>
      </c>
      <c r="E202">
        <v>0.1</v>
      </c>
      <c r="F202">
        <v>1.3</v>
      </c>
      <c r="G202" s="3">
        <f t="shared" si="15"/>
        <v>0</v>
      </c>
      <c r="H202" s="3">
        <f t="shared" si="16"/>
        <v>0</v>
      </c>
      <c r="I202" s="3">
        <f t="shared" si="17"/>
        <v>0</v>
      </c>
      <c r="J202" s="3">
        <f t="shared" si="18"/>
        <v>9</v>
      </c>
      <c r="K202" t="s">
        <v>8</v>
      </c>
      <c r="L202" t="s">
        <v>8</v>
      </c>
      <c r="M202" t="s">
        <v>8</v>
      </c>
      <c r="N202">
        <v>0</v>
      </c>
      <c r="O202" t="s">
        <v>8</v>
      </c>
      <c r="P202">
        <v>0</v>
      </c>
      <c r="Q202" t="s">
        <v>8</v>
      </c>
      <c r="R202" t="s">
        <v>8</v>
      </c>
      <c r="S202" t="s">
        <v>8</v>
      </c>
      <c r="T202" t="s">
        <v>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1.3</v>
      </c>
      <c r="AA202">
        <v>0</v>
      </c>
      <c r="AB202" t="s">
        <v>8</v>
      </c>
    </row>
    <row r="203" spans="1:28" x14ac:dyDescent="0.25">
      <c r="A203">
        <v>202</v>
      </c>
      <c r="B203" t="s">
        <v>594</v>
      </c>
      <c r="C203" t="s">
        <v>90</v>
      </c>
      <c r="D203" s="6">
        <f t="shared" si="19"/>
        <v>0</v>
      </c>
      <c r="E203">
        <v>0.2</v>
      </c>
      <c r="F203">
        <v>1.2</v>
      </c>
      <c r="G203" s="3">
        <f t="shared" si="15"/>
        <v>0</v>
      </c>
      <c r="H203" s="3">
        <f t="shared" si="16"/>
        <v>0</v>
      </c>
      <c r="I203" s="3">
        <f t="shared" si="17"/>
        <v>0</v>
      </c>
      <c r="J203" s="3">
        <f t="shared" si="18"/>
        <v>7</v>
      </c>
      <c r="K203" t="s">
        <v>8</v>
      </c>
      <c r="L203">
        <v>1.2</v>
      </c>
      <c r="M203" t="s">
        <v>8</v>
      </c>
      <c r="N203" t="s">
        <v>8</v>
      </c>
      <c r="O203">
        <v>0</v>
      </c>
      <c r="P203">
        <v>0</v>
      </c>
      <c r="Q203">
        <v>0</v>
      </c>
      <c r="R203">
        <v>0</v>
      </c>
      <c r="S203" t="s">
        <v>8</v>
      </c>
      <c r="T203">
        <v>0</v>
      </c>
      <c r="U203" t="s">
        <v>8</v>
      </c>
      <c r="V203" t="s">
        <v>8</v>
      </c>
      <c r="W203" t="s">
        <v>8</v>
      </c>
      <c r="X203" t="s">
        <v>8</v>
      </c>
      <c r="Y203" t="s">
        <v>8</v>
      </c>
      <c r="Z203" t="s">
        <v>8</v>
      </c>
      <c r="AA203" t="s">
        <v>8</v>
      </c>
      <c r="AB203">
        <v>0</v>
      </c>
    </row>
    <row r="204" spans="1:28" x14ac:dyDescent="0.25">
      <c r="A204">
        <v>202</v>
      </c>
      <c r="B204" t="s">
        <v>593</v>
      </c>
      <c r="C204" t="s">
        <v>90</v>
      </c>
      <c r="D204" s="6">
        <f t="shared" si="19"/>
        <v>1.2</v>
      </c>
      <c r="E204">
        <v>1.2</v>
      </c>
      <c r="F204">
        <v>1.2</v>
      </c>
      <c r="G204" s="3">
        <f t="shared" si="15"/>
        <v>0</v>
      </c>
      <c r="H204" s="3">
        <f t="shared" si="16"/>
        <v>0</v>
      </c>
      <c r="I204" s="3">
        <f t="shared" si="17"/>
        <v>0</v>
      </c>
      <c r="J204" s="3">
        <f t="shared" si="18"/>
        <v>1</v>
      </c>
      <c r="K204" t="s">
        <v>8</v>
      </c>
      <c r="L204" t="s">
        <v>8</v>
      </c>
      <c r="M204" t="s">
        <v>8</v>
      </c>
      <c r="N204" t="s">
        <v>8</v>
      </c>
      <c r="O204">
        <v>1.2</v>
      </c>
      <c r="P204" t="s">
        <v>8</v>
      </c>
      <c r="Q204" t="s">
        <v>8</v>
      </c>
      <c r="R204" t="s">
        <v>8</v>
      </c>
      <c r="S204" t="s">
        <v>8</v>
      </c>
      <c r="T204" t="s">
        <v>8</v>
      </c>
      <c r="U204" t="s">
        <v>8</v>
      </c>
      <c r="V204" t="s">
        <v>8</v>
      </c>
      <c r="W204" t="s">
        <v>8</v>
      </c>
      <c r="X204" t="s">
        <v>8</v>
      </c>
      <c r="Y204" t="s">
        <v>8</v>
      </c>
      <c r="Z204" t="s">
        <v>8</v>
      </c>
      <c r="AA204" t="s">
        <v>8</v>
      </c>
      <c r="AB204" t="s">
        <v>8</v>
      </c>
    </row>
    <row r="205" spans="1:28" x14ac:dyDescent="0.25">
      <c r="A205">
        <v>204</v>
      </c>
      <c r="B205" t="s">
        <v>290</v>
      </c>
      <c r="C205" t="s">
        <v>18</v>
      </c>
      <c r="D205" s="6">
        <f t="shared" si="19"/>
        <v>0</v>
      </c>
      <c r="E205">
        <v>0.1</v>
      </c>
      <c r="F205">
        <v>0.5</v>
      </c>
      <c r="G205" s="3">
        <f t="shared" si="15"/>
        <v>0</v>
      </c>
      <c r="H205" s="3">
        <f t="shared" si="16"/>
        <v>0</v>
      </c>
      <c r="I205" s="3">
        <f t="shared" si="17"/>
        <v>0</v>
      </c>
      <c r="J205" s="3">
        <f t="shared" si="18"/>
        <v>4</v>
      </c>
      <c r="K205" t="s">
        <v>8</v>
      </c>
      <c r="L205" t="s">
        <v>8</v>
      </c>
      <c r="M205" t="s">
        <v>8</v>
      </c>
      <c r="N205" t="s">
        <v>8</v>
      </c>
      <c r="O205" t="s">
        <v>8</v>
      </c>
      <c r="P205" t="s">
        <v>8</v>
      </c>
      <c r="Q205" t="s">
        <v>8</v>
      </c>
      <c r="R205">
        <v>-0.5</v>
      </c>
      <c r="S205">
        <v>0</v>
      </c>
      <c r="T205" t="s">
        <v>7</v>
      </c>
      <c r="U205">
        <v>0</v>
      </c>
      <c r="V205">
        <v>1</v>
      </c>
      <c r="W205" t="s">
        <v>8</v>
      </c>
      <c r="X205" t="s">
        <v>8</v>
      </c>
      <c r="Y205" t="s">
        <v>8</v>
      </c>
      <c r="Z205" t="s">
        <v>8</v>
      </c>
      <c r="AA205" t="s">
        <v>8</v>
      </c>
      <c r="AB205" t="s">
        <v>8</v>
      </c>
    </row>
    <row r="206" spans="1:28" x14ac:dyDescent="0.25">
      <c r="A206">
        <v>205</v>
      </c>
      <c r="B206" t="s">
        <v>603</v>
      </c>
      <c r="C206" t="s">
        <v>14</v>
      </c>
      <c r="D206" s="6">
        <f t="shared" si="19"/>
        <v>0</v>
      </c>
      <c r="E206">
        <v>0</v>
      </c>
      <c r="F206">
        <v>0</v>
      </c>
      <c r="G206" s="3">
        <f t="shared" si="15"/>
        <v>0</v>
      </c>
      <c r="H206" s="3">
        <f t="shared" si="16"/>
        <v>0</v>
      </c>
      <c r="I206" s="3">
        <f t="shared" si="17"/>
        <v>0</v>
      </c>
      <c r="J206" s="3">
        <f t="shared" si="18"/>
        <v>1</v>
      </c>
      <c r="K206" t="s">
        <v>8</v>
      </c>
      <c r="L206" t="s">
        <v>8</v>
      </c>
      <c r="M206" t="s">
        <v>8</v>
      </c>
      <c r="N206" t="s">
        <v>8</v>
      </c>
      <c r="O206">
        <v>0</v>
      </c>
      <c r="P206" t="s">
        <v>8</v>
      </c>
      <c r="Q206" t="s">
        <v>8</v>
      </c>
      <c r="R206" t="s">
        <v>8</v>
      </c>
      <c r="S206" t="s">
        <v>8</v>
      </c>
      <c r="T206" t="s">
        <v>8</v>
      </c>
      <c r="U206" t="s">
        <v>7</v>
      </c>
      <c r="V206" t="s">
        <v>8</v>
      </c>
      <c r="W206" t="s">
        <v>8</v>
      </c>
      <c r="X206" t="s">
        <v>8</v>
      </c>
      <c r="Y206" t="s">
        <v>8</v>
      </c>
      <c r="Z206" t="s">
        <v>8</v>
      </c>
      <c r="AA206" t="s">
        <v>8</v>
      </c>
      <c r="AB206" t="s">
        <v>8</v>
      </c>
    </row>
    <row r="207" spans="1:28" x14ac:dyDescent="0.25">
      <c r="A207">
        <v>205</v>
      </c>
      <c r="B207" t="s">
        <v>232</v>
      </c>
      <c r="C207" t="s">
        <v>90</v>
      </c>
      <c r="D207" s="6">
        <f t="shared" si="19"/>
        <v>0</v>
      </c>
      <c r="E207">
        <v>0</v>
      </c>
      <c r="F207">
        <v>0</v>
      </c>
      <c r="G207" s="3">
        <f t="shared" si="15"/>
        <v>0</v>
      </c>
      <c r="H207" s="3">
        <f t="shared" si="16"/>
        <v>0</v>
      </c>
      <c r="I207" s="3">
        <f t="shared" si="17"/>
        <v>0</v>
      </c>
      <c r="J207" s="3">
        <f t="shared" si="18"/>
        <v>7</v>
      </c>
      <c r="K207" t="s">
        <v>8</v>
      </c>
      <c r="L207" t="s">
        <v>8</v>
      </c>
      <c r="M207" t="s">
        <v>8</v>
      </c>
      <c r="N207" t="s">
        <v>8</v>
      </c>
      <c r="O207" t="s">
        <v>8</v>
      </c>
      <c r="P207" t="s">
        <v>8</v>
      </c>
      <c r="Q207" t="s">
        <v>8</v>
      </c>
      <c r="R207">
        <v>0</v>
      </c>
      <c r="S207">
        <v>0</v>
      </c>
      <c r="T207" t="s">
        <v>8</v>
      </c>
      <c r="U207">
        <v>0</v>
      </c>
      <c r="V207" t="s">
        <v>8</v>
      </c>
      <c r="W207" t="s">
        <v>8</v>
      </c>
      <c r="X207">
        <v>0</v>
      </c>
      <c r="Y207">
        <v>0</v>
      </c>
      <c r="Z207">
        <v>0</v>
      </c>
      <c r="AA207" t="s">
        <v>8</v>
      </c>
      <c r="AB207">
        <v>0</v>
      </c>
    </row>
    <row r="208" spans="1:28" x14ac:dyDescent="0.25">
      <c r="A208">
        <v>205</v>
      </c>
      <c r="B208" t="s">
        <v>595</v>
      </c>
      <c r="C208" t="s">
        <v>90</v>
      </c>
      <c r="D208" s="6">
        <f t="shared" si="19"/>
        <v>0</v>
      </c>
      <c r="E208">
        <v>0</v>
      </c>
      <c r="F208">
        <v>0</v>
      </c>
      <c r="G208" s="3">
        <f t="shared" si="15"/>
        <v>0</v>
      </c>
      <c r="H208" s="3">
        <f t="shared" si="16"/>
        <v>0</v>
      </c>
      <c r="I208" s="3">
        <f t="shared" si="17"/>
        <v>0</v>
      </c>
      <c r="J208" s="3">
        <f t="shared" si="18"/>
        <v>1</v>
      </c>
      <c r="K208" t="s">
        <v>8</v>
      </c>
      <c r="L208" t="s">
        <v>8</v>
      </c>
      <c r="M208" t="s">
        <v>8</v>
      </c>
      <c r="N208" t="s">
        <v>8</v>
      </c>
      <c r="O208" t="s">
        <v>8</v>
      </c>
      <c r="P208" t="s">
        <v>8</v>
      </c>
      <c r="Q208" t="s">
        <v>8</v>
      </c>
      <c r="R208" t="s">
        <v>8</v>
      </c>
      <c r="S208">
        <v>0</v>
      </c>
      <c r="T208" t="s">
        <v>8</v>
      </c>
      <c r="U208" t="s">
        <v>8</v>
      </c>
      <c r="V208" t="s">
        <v>8</v>
      </c>
      <c r="W208" t="s">
        <v>8</v>
      </c>
      <c r="X208" t="s">
        <v>8</v>
      </c>
      <c r="Y208" t="s">
        <v>8</v>
      </c>
      <c r="Z208" t="s">
        <v>8</v>
      </c>
      <c r="AA208" t="s">
        <v>8</v>
      </c>
      <c r="AB208" t="s">
        <v>8</v>
      </c>
    </row>
    <row r="209" spans="1:28" x14ac:dyDescent="0.25">
      <c r="A209">
        <v>205</v>
      </c>
      <c r="B209" t="s">
        <v>598</v>
      </c>
      <c r="C209" t="s">
        <v>90</v>
      </c>
      <c r="D209" s="6">
        <f t="shared" si="19"/>
        <v>0</v>
      </c>
      <c r="E209">
        <v>0</v>
      </c>
      <c r="F209">
        <v>0</v>
      </c>
      <c r="G209" s="3">
        <f t="shared" si="15"/>
        <v>0</v>
      </c>
      <c r="H209" s="3">
        <f t="shared" si="16"/>
        <v>0</v>
      </c>
      <c r="I209" s="3">
        <f t="shared" si="17"/>
        <v>0</v>
      </c>
      <c r="J209" s="3">
        <f t="shared" si="18"/>
        <v>2</v>
      </c>
      <c r="K209" t="s">
        <v>8</v>
      </c>
      <c r="L209" t="s">
        <v>8</v>
      </c>
      <c r="M209" t="s">
        <v>8</v>
      </c>
      <c r="N209" t="s">
        <v>8</v>
      </c>
      <c r="O209" t="s">
        <v>8</v>
      </c>
      <c r="P209" t="s">
        <v>8</v>
      </c>
      <c r="Q209" t="s">
        <v>8</v>
      </c>
      <c r="R209" t="s">
        <v>8</v>
      </c>
      <c r="S209">
        <v>0</v>
      </c>
      <c r="T209">
        <v>0</v>
      </c>
      <c r="U209" t="s">
        <v>8</v>
      </c>
      <c r="V209" t="s">
        <v>8</v>
      </c>
      <c r="W209" t="s">
        <v>8</v>
      </c>
      <c r="X209" t="s">
        <v>8</v>
      </c>
      <c r="Y209" t="s">
        <v>8</v>
      </c>
      <c r="Z209" t="s">
        <v>8</v>
      </c>
      <c r="AA209" t="s">
        <v>8</v>
      </c>
      <c r="AB209" t="s">
        <v>8</v>
      </c>
    </row>
    <row r="210" spans="1:28" x14ac:dyDescent="0.25">
      <c r="A210">
        <v>205</v>
      </c>
      <c r="B210" t="s">
        <v>608</v>
      </c>
      <c r="C210" t="s">
        <v>90</v>
      </c>
      <c r="D210" s="6">
        <f t="shared" si="19"/>
        <v>0</v>
      </c>
      <c r="E210">
        <v>0</v>
      </c>
      <c r="F210">
        <v>0</v>
      </c>
      <c r="G210" s="3">
        <f t="shared" si="15"/>
        <v>0</v>
      </c>
      <c r="H210" s="3">
        <f t="shared" si="16"/>
        <v>0</v>
      </c>
      <c r="I210" s="3">
        <f t="shared" si="17"/>
        <v>0</v>
      </c>
      <c r="J210" s="3">
        <f t="shared" si="18"/>
        <v>1</v>
      </c>
      <c r="K210" t="s">
        <v>8</v>
      </c>
      <c r="L210" t="s">
        <v>8</v>
      </c>
      <c r="M210" t="s">
        <v>8</v>
      </c>
      <c r="N210" t="s">
        <v>8</v>
      </c>
      <c r="O210" t="s">
        <v>8</v>
      </c>
      <c r="P210" t="s">
        <v>8</v>
      </c>
      <c r="Q210" t="s">
        <v>8</v>
      </c>
      <c r="R210" t="s">
        <v>8</v>
      </c>
      <c r="S210" t="s">
        <v>8</v>
      </c>
      <c r="T210" t="s">
        <v>8</v>
      </c>
      <c r="U210">
        <v>0</v>
      </c>
      <c r="V210" t="s">
        <v>8</v>
      </c>
      <c r="W210" t="s">
        <v>8</v>
      </c>
      <c r="X210" t="s">
        <v>8</v>
      </c>
      <c r="Y210" t="s">
        <v>8</v>
      </c>
      <c r="Z210" t="s">
        <v>8</v>
      </c>
      <c r="AA210" t="s">
        <v>8</v>
      </c>
      <c r="AB210" t="s">
        <v>8</v>
      </c>
    </row>
    <row r="211" spans="1:28" x14ac:dyDescent="0.25">
      <c r="A211">
        <v>205</v>
      </c>
      <c r="B211" t="s">
        <v>600</v>
      </c>
      <c r="C211" t="s">
        <v>97</v>
      </c>
      <c r="D211" s="6">
        <f t="shared" si="19"/>
        <v>0</v>
      </c>
      <c r="E211">
        <v>0</v>
      </c>
      <c r="F211">
        <v>0</v>
      </c>
      <c r="G211" s="3">
        <f t="shared" si="15"/>
        <v>0</v>
      </c>
      <c r="H211" s="3">
        <f t="shared" si="16"/>
        <v>0</v>
      </c>
      <c r="I211" s="3">
        <f t="shared" si="17"/>
        <v>0</v>
      </c>
      <c r="J211" s="3">
        <f t="shared" si="18"/>
        <v>2</v>
      </c>
      <c r="K211" t="s">
        <v>8</v>
      </c>
      <c r="L211" t="s">
        <v>8</v>
      </c>
      <c r="M211" t="s">
        <v>8</v>
      </c>
      <c r="N211" t="s">
        <v>8</v>
      </c>
      <c r="O211" t="s">
        <v>8</v>
      </c>
      <c r="P211" t="s">
        <v>8</v>
      </c>
      <c r="Q211" t="s">
        <v>8</v>
      </c>
      <c r="R211" t="s">
        <v>8</v>
      </c>
      <c r="S211" t="s">
        <v>8</v>
      </c>
      <c r="T211">
        <v>0</v>
      </c>
      <c r="U211">
        <v>0</v>
      </c>
      <c r="V211" t="s">
        <v>8</v>
      </c>
      <c r="W211" t="s">
        <v>7</v>
      </c>
      <c r="X211" t="s">
        <v>8</v>
      </c>
      <c r="Y211" t="s">
        <v>8</v>
      </c>
      <c r="Z211" t="s">
        <v>8</v>
      </c>
      <c r="AA211" t="s">
        <v>8</v>
      </c>
      <c r="AB211" t="s">
        <v>8</v>
      </c>
    </row>
    <row r="212" spans="1:28" x14ac:dyDescent="0.25">
      <c r="A212">
        <v>205</v>
      </c>
      <c r="B212" t="s">
        <v>347</v>
      </c>
      <c r="C212" t="s">
        <v>53</v>
      </c>
      <c r="D212" s="6">
        <f t="shared" si="19"/>
        <v>0</v>
      </c>
      <c r="E212">
        <v>0</v>
      </c>
      <c r="F212">
        <v>0</v>
      </c>
      <c r="G212" s="3">
        <f t="shared" si="15"/>
        <v>0</v>
      </c>
      <c r="H212" s="3">
        <f t="shared" si="16"/>
        <v>0</v>
      </c>
      <c r="I212" s="3">
        <f t="shared" si="17"/>
        <v>0</v>
      </c>
      <c r="J212" s="3">
        <f t="shared" si="18"/>
        <v>5</v>
      </c>
      <c r="K212" t="s">
        <v>8</v>
      </c>
      <c r="L212" t="s">
        <v>8</v>
      </c>
      <c r="M212" t="s">
        <v>8</v>
      </c>
      <c r="N212" t="s">
        <v>8</v>
      </c>
      <c r="O212" t="s">
        <v>7</v>
      </c>
      <c r="P212" t="s">
        <v>8</v>
      </c>
      <c r="Q212" t="s">
        <v>8</v>
      </c>
      <c r="R212" t="s">
        <v>8</v>
      </c>
      <c r="S212" t="s">
        <v>8</v>
      </c>
      <c r="T212">
        <v>0</v>
      </c>
      <c r="U212" t="s">
        <v>8</v>
      </c>
      <c r="V212" t="s">
        <v>8</v>
      </c>
      <c r="W212" t="s">
        <v>8</v>
      </c>
      <c r="X212">
        <v>0</v>
      </c>
      <c r="Y212">
        <v>0</v>
      </c>
      <c r="Z212">
        <v>0</v>
      </c>
      <c r="AA212" t="s">
        <v>8</v>
      </c>
      <c r="AB212">
        <v>0</v>
      </c>
    </row>
    <row r="213" spans="1:28" x14ac:dyDescent="0.25">
      <c r="A213">
        <v>205</v>
      </c>
      <c r="B213" t="s">
        <v>613</v>
      </c>
      <c r="C213" t="s">
        <v>90</v>
      </c>
      <c r="D213" s="6">
        <f t="shared" si="19"/>
        <v>0</v>
      </c>
      <c r="E213">
        <v>0</v>
      </c>
      <c r="F213">
        <v>0</v>
      </c>
      <c r="G213" s="3">
        <f t="shared" si="15"/>
        <v>0</v>
      </c>
      <c r="H213" s="3">
        <f t="shared" si="16"/>
        <v>0</v>
      </c>
      <c r="I213" s="3">
        <f t="shared" si="17"/>
        <v>0</v>
      </c>
      <c r="J213" s="3">
        <f t="shared" si="18"/>
        <v>1</v>
      </c>
      <c r="K213" t="s">
        <v>8</v>
      </c>
      <c r="L213">
        <v>0</v>
      </c>
      <c r="M213" t="s">
        <v>8</v>
      </c>
      <c r="N213" t="s">
        <v>8</v>
      </c>
      <c r="O213" t="s">
        <v>8</v>
      </c>
      <c r="P213" t="s">
        <v>8</v>
      </c>
      <c r="Q213" t="s">
        <v>8</v>
      </c>
      <c r="R213" t="s">
        <v>8</v>
      </c>
      <c r="S213" t="s">
        <v>8</v>
      </c>
      <c r="T213" t="s">
        <v>8</v>
      </c>
      <c r="U213" t="s">
        <v>8</v>
      </c>
      <c r="V213" t="s">
        <v>8</v>
      </c>
      <c r="W213" t="s">
        <v>8</v>
      </c>
      <c r="X213" t="s">
        <v>8</v>
      </c>
      <c r="Y213" t="s">
        <v>8</v>
      </c>
      <c r="Z213" t="s">
        <v>8</v>
      </c>
      <c r="AA213" t="s">
        <v>8</v>
      </c>
      <c r="AB213" t="s">
        <v>8</v>
      </c>
    </row>
    <row r="214" spans="1:28" x14ac:dyDescent="0.25">
      <c r="A214">
        <v>205</v>
      </c>
      <c r="B214" t="s">
        <v>345</v>
      </c>
      <c r="C214" t="s">
        <v>22</v>
      </c>
      <c r="D214" s="6">
        <f t="shared" si="19"/>
        <v>0</v>
      </c>
      <c r="E214">
        <v>0</v>
      </c>
      <c r="F214">
        <v>0</v>
      </c>
      <c r="G214" s="3">
        <f t="shared" si="15"/>
        <v>0</v>
      </c>
      <c r="H214" s="3">
        <f t="shared" si="16"/>
        <v>0</v>
      </c>
      <c r="I214" s="3">
        <f t="shared" si="17"/>
        <v>0</v>
      </c>
      <c r="J214" s="3">
        <f t="shared" si="18"/>
        <v>1</v>
      </c>
      <c r="K214" t="s">
        <v>8</v>
      </c>
      <c r="L214" t="s">
        <v>8</v>
      </c>
      <c r="M214" t="s">
        <v>8</v>
      </c>
      <c r="N214" t="s">
        <v>8</v>
      </c>
      <c r="O214" t="s">
        <v>8</v>
      </c>
      <c r="P214" t="s">
        <v>8</v>
      </c>
      <c r="Q214" t="s">
        <v>8</v>
      </c>
      <c r="R214">
        <v>0</v>
      </c>
      <c r="S214" t="s">
        <v>8</v>
      </c>
      <c r="T214" t="s">
        <v>8</v>
      </c>
      <c r="U214" t="s">
        <v>8</v>
      </c>
      <c r="V214" t="s">
        <v>8</v>
      </c>
      <c r="W214" t="s">
        <v>7</v>
      </c>
      <c r="X214" t="s">
        <v>8</v>
      </c>
      <c r="Y214" t="s">
        <v>8</v>
      </c>
      <c r="Z214" t="s">
        <v>8</v>
      </c>
      <c r="AA214" t="s">
        <v>8</v>
      </c>
      <c r="AB214" t="s">
        <v>8</v>
      </c>
    </row>
    <row r="215" spans="1:28" x14ac:dyDescent="0.25">
      <c r="A215">
        <v>205</v>
      </c>
      <c r="B215" t="s">
        <v>601</v>
      </c>
      <c r="C215" t="s">
        <v>90</v>
      </c>
      <c r="D215" s="6">
        <f t="shared" si="19"/>
        <v>0</v>
      </c>
      <c r="E215">
        <v>0</v>
      </c>
      <c r="F215">
        <v>0</v>
      </c>
      <c r="G215" s="3">
        <f t="shared" si="15"/>
        <v>0</v>
      </c>
      <c r="H215" s="3">
        <f t="shared" si="16"/>
        <v>0</v>
      </c>
      <c r="I215" s="3">
        <f t="shared" si="17"/>
        <v>0</v>
      </c>
      <c r="J215" s="3">
        <f t="shared" si="18"/>
        <v>1</v>
      </c>
      <c r="K215" t="s">
        <v>8</v>
      </c>
      <c r="L215" t="s">
        <v>8</v>
      </c>
      <c r="M215" t="s">
        <v>8</v>
      </c>
      <c r="N215" t="s">
        <v>8</v>
      </c>
      <c r="O215" t="s">
        <v>8</v>
      </c>
      <c r="P215" t="s">
        <v>8</v>
      </c>
      <c r="Q215" t="s">
        <v>8</v>
      </c>
      <c r="R215" t="s">
        <v>8</v>
      </c>
      <c r="S215" t="s">
        <v>8</v>
      </c>
      <c r="T215" t="s">
        <v>8</v>
      </c>
      <c r="U215">
        <v>0</v>
      </c>
      <c r="V215" t="s">
        <v>8</v>
      </c>
      <c r="W215" t="s">
        <v>8</v>
      </c>
      <c r="X215" t="s">
        <v>8</v>
      </c>
      <c r="Y215" t="s">
        <v>8</v>
      </c>
      <c r="Z215" t="s">
        <v>8</v>
      </c>
      <c r="AA215" t="s">
        <v>8</v>
      </c>
      <c r="AB215" t="s">
        <v>8</v>
      </c>
    </row>
    <row r="216" spans="1:28" x14ac:dyDescent="0.25">
      <c r="A216">
        <v>205</v>
      </c>
      <c r="B216" t="s">
        <v>354</v>
      </c>
      <c r="C216" t="s">
        <v>90</v>
      </c>
      <c r="D216" s="6">
        <f t="shared" si="19"/>
        <v>0</v>
      </c>
      <c r="E216">
        <v>0</v>
      </c>
      <c r="F216">
        <v>0</v>
      </c>
      <c r="G216" s="3">
        <f t="shared" si="15"/>
        <v>0</v>
      </c>
      <c r="H216" s="3">
        <f t="shared" si="16"/>
        <v>0</v>
      </c>
      <c r="I216" s="3">
        <f t="shared" si="17"/>
        <v>0</v>
      </c>
      <c r="J216" s="3">
        <f t="shared" si="18"/>
        <v>6</v>
      </c>
      <c r="K216">
        <v>0</v>
      </c>
      <c r="L216" t="s">
        <v>8</v>
      </c>
      <c r="M216" t="s">
        <v>8</v>
      </c>
      <c r="N216" t="s">
        <v>8</v>
      </c>
      <c r="O216" t="s">
        <v>8</v>
      </c>
      <c r="P216" t="s">
        <v>8</v>
      </c>
      <c r="Q216" t="s">
        <v>8</v>
      </c>
      <c r="R216" t="s">
        <v>8</v>
      </c>
      <c r="S216" t="s">
        <v>8</v>
      </c>
      <c r="T216" t="s">
        <v>8</v>
      </c>
      <c r="U216">
        <v>0</v>
      </c>
      <c r="V216">
        <v>0</v>
      </c>
      <c r="W216">
        <v>0</v>
      </c>
      <c r="X216">
        <v>0</v>
      </c>
      <c r="Y216" t="s">
        <v>8</v>
      </c>
      <c r="Z216" t="s">
        <v>8</v>
      </c>
      <c r="AA216">
        <v>0</v>
      </c>
      <c r="AB216" t="s">
        <v>8</v>
      </c>
    </row>
    <row r="217" spans="1:28" x14ac:dyDescent="0.25">
      <c r="A217">
        <v>205</v>
      </c>
      <c r="B217" t="s">
        <v>310</v>
      </c>
      <c r="C217" t="s">
        <v>14</v>
      </c>
      <c r="D217" s="6">
        <f t="shared" si="19"/>
        <v>0</v>
      </c>
      <c r="E217">
        <v>0</v>
      </c>
      <c r="F217">
        <v>0</v>
      </c>
      <c r="G217" s="3">
        <f t="shared" si="15"/>
        <v>0</v>
      </c>
      <c r="H217" s="3">
        <f t="shared" si="16"/>
        <v>0</v>
      </c>
      <c r="I217" s="3">
        <f t="shared" si="17"/>
        <v>0</v>
      </c>
      <c r="J217" s="3">
        <f t="shared" si="18"/>
        <v>1</v>
      </c>
      <c r="K217" t="s">
        <v>8</v>
      </c>
      <c r="L217" t="s">
        <v>8</v>
      </c>
      <c r="M217" t="s">
        <v>8</v>
      </c>
      <c r="N217" t="s">
        <v>8</v>
      </c>
      <c r="O217" t="s">
        <v>8</v>
      </c>
      <c r="P217" t="s">
        <v>8</v>
      </c>
      <c r="Q217" t="s">
        <v>8</v>
      </c>
      <c r="R217" t="s">
        <v>8</v>
      </c>
      <c r="S217" t="s">
        <v>8</v>
      </c>
      <c r="T217" t="s">
        <v>8</v>
      </c>
      <c r="U217" t="s">
        <v>7</v>
      </c>
      <c r="V217">
        <v>0</v>
      </c>
      <c r="W217" t="s">
        <v>8</v>
      </c>
      <c r="X217" t="s">
        <v>8</v>
      </c>
      <c r="Y217" t="s">
        <v>8</v>
      </c>
      <c r="Z217" t="s">
        <v>8</v>
      </c>
      <c r="AA217" t="s">
        <v>8</v>
      </c>
      <c r="AB217" t="s">
        <v>8</v>
      </c>
    </row>
    <row r="218" spans="1:28" x14ac:dyDescent="0.25">
      <c r="A218">
        <v>205</v>
      </c>
      <c r="B218" t="s">
        <v>612</v>
      </c>
      <c r="C218" t="s">
        <v>90</v>
      </c>
      <c r="D218" s="6">
        <f t="shared" si="19"/>
        <v>0</v>
      </c>
      <c r="E218">
        <v>0</v>
      </c>
      <c r="F218">
        <v>0</v>
      </c>
      <c r="G218" s="3">
        <f t="shared" si="15"/>
        <v>0</v>
      </c>
      <c r="H218" s="3">
        <f t="shared" si="16"/>
        <v>0</v>
      </c>
      <c r="I218" s="3">
        <f t="shared" si="17"/>
        <v>0</v>
      </c>
      <c r="J218" s="3">
        <f t="shared" si="18"/>
        <v>3</v>
      </c>
      <c r="K218">
        <v>0</v>
      </c>
      <c r="L218" t="s">
        <v>8</v>
      </c>
      <c r="M218" t="s">
        <v>8</v>
      </c>
      <c r="N218">
        <v>0</v>
      </c>
      <c r="O218" t="s">
        <v>8</v>
      </c>
      <c r="P218" t="s">
        <v>8</v>
      </c>
      <c r="Q218" t="s">
        <v>8</v>
      </c>
      <c r="R218" t="s">
        <v>8</v>
      </c>
      <c r="S218" t="s">
        <v>8</v>
      </c>
      <c r="T218" t="s">
        <v>8</v>
      </c>
      <c r="U218" t="s">
        <v>8</v>
      </c>
      <c r="V218" t="s">
        <v>8</v>
      </c>
      <c r="W218" t="s">
        <v>8</v>
      </c>
      <c r="X218" t="s">
        <v>8</v>
      </c>
      <c r="Y218" t="s">
        <v>8</v>
      </c>
      <c r="Z218" t="s">
        <v>8</v>
      </c>
      <c r="AA218" t="s">
        <v>8</v>
      </c>
      <c r="AB218">
        <v>0</v>
      </c>
    </row>
    <row r="219" spans="1:28" x14ac:dyDescent="0.25">
      <c r="A219">
        <v>205</v>
      </c>
      <c r="B219" t="s">
        <v>237</v>
      </c>
      <c r="C219" t="s">
        <v>34</v>
      </c>
      <c r="D219" s="6">
        <f t="shared" si="19"/>
        <v>0</v>
      </c>
      <c r="E219">
        <v>0</v>
      </c>
      <c r="F219">
        <v>0</v>
      </c>
      <c r="G219" s="3">
        <f t="shared" si="15"/>
        <v>0</v>
      </c>
      <c r="H219" s="3">
        <f t="shared" si="16"/>
        <v>0</v>
      </c>
      <c r="I219" s="3">
        <f t="shared" si="17"/>
        <v>0</v>
      </c>
      <c r="J219" s="3">
        <f t="shared" si="18"/>
        <v>1</v>
      </c>
      <c r="K219" t="s">
        <v>8</v>
      </c>
      <c r="L219" t="s">
        <v>8</v>
      </c>
      <c r="M219" t="s">
        <v>8</v>
      </c>
      <c r="N219" t="s">
        <v>8</v>
      </c>
      <c r="O219" t="s">
        <v>7</v>
      </c>
      <c r="P219" t="s">
        <v>8</v>
      </c>
      <c r="Q219" t="s">
        <v>8</v>
      </c>
      <c r="R219" t="s">
        <v>8</v>
      </c>
      <c r="S219" t="s">
        <v>8</v>
      </c>
      <c r="T219" t="s">
        <v>8</v>
      </c>
      <c r="U219" t="s">
        <v>8</v>
      </c>
      <c r="V219" t="s">
        <v>8</v>
      </c>
      <c r="W219">
        <v>0</v>
      </c>
      <c r="X219" t="s">
        <v>8</v>
      </c>
      <c r="Y219" t="s">
        <v>8</v>
      </c>
      <c r="Z219" t="s">
        <v>8</v>
      </c>
      <c r="AA219" t="s">
        <v>8</v>
      </c>
      <c r="AB219" t="s">
        <v>8</v>
      </c>
    </row>
    <row r="220" spans="1:28" x14ac:dyDescent="0.25">
      <c r="A220">
        <v>205</v>
      </c>
      <c r="B220" t="s">
        <v>602</v>
      </c>
      <c r="C220" t="s">
        <v>69</v>
      </c>
      <c r="D220" s="6">
        <f t="shared" si="19"/>
        <v>0</v>
      </c>
      <c r="E220">
        <v>0</v>
      </c>
      <c r="F220">
        <v>0</v>
      </c>
      <c r="G220" s="3">
        <f t="shared" si="15"/>
        <v>0</v>
      </c>
      <c r="H220" s="3">
        <f t="shared" si="16"/>
        <v>0</v>
      </c>
      <c r="I220" s="3">
        <f t="shared" si="17"/>
        <v>0</v>
      </c>
      <c r="J220" s="3">
        <f t="shared" si="18"/>
        <v>1</v>
      </c>
      <c r="K220" t="s">
        <v>8</v>
      </c>
      <c r="L220" t="s">
        <v>8</v>
      </c>
      <c r="M220" t="s">
        <v>8</v>
      </c>
      <c r="N220" t="s">
        <v>8</v>
      </c>
      <c r="O220" t="s">
        <v>7</v>
      </c>
      <c r="P220" t="s">
        <v>8</v>
      </c>
      <c r="Q220" t="s">
        <v>8</v>
      </c>
      <c r="R220" t="s">
        <v>8</v>
      </c>
      <c r="S220" t="s">
        <v>8</v>
      </c>
      <c r="T220" t="s">
        <v>8</v>
      </c>
      <c r="U220" t="s">
        <v>8</v>
      </c>
      <c r="V220" t="s">
        <v>8</v>
      </c>
      <c r="W220" t="s">
        <v>8</v>
      </c>
      <c r="X220" t="s">
        <v>8</v>
      </c>
      <c r="Y220" t="s">
        <v>8</v>
      </c>
      <c r="Z220">
        <v>0</v>
      </c>
      <c r="AA220" t="s">
        <v>8</v>
      </c>
      <c r="AB220" t="s">
        <v>8</v>
      </c>
    </row>
    <row r="221" spans="1:28" x14ac:dyDescent="0.25">
      <c r="A221">
        <v>205</v>
      </c>
      <c r="B221" t="s">
        <v>604</v>
      </c>
      <c r="C221" t="s">
        <v>38</v>
      </c>
      <c r="D221" s="6">
        <f t="shared" si="19"/>
        <v>0</v>
      </c>
      <c r="E221">
        <v>0</v>
      </c>
      <c r="F221">
        <v>0</v>
      </c>
      <c r="G221" s="3">
        <f t="shared" si="15"/>
        <v>0</v>
      </c>
      <c r="H221" s="3">
        <f t="shared" si="16"/>
        <v>0</v>
      </c>
      <c r="I221" s="3">
        <f t="shared" si="17"/>
        <v>0</v>
      </c>
      <c r="J221" s="3">
        <f t="shared" si="18"/>
        <v>3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8</v>
      </c>
      <c r="R221" t="s">
        <v>8</v>
      </c>
      <c r="S221" t="s">
        <v>8</v>
      </c>
      <c r="T221" t="s">
        <v>8</v>
      </c>
      <c r="U221" t="s">
        <v>8</v>
      </c>
      <c r="V221" t="s">
        <v>8</v>
      </c>
      <c r="W221" t="s">
        <v>7</v>
      </c>
      <c r="X221" t="s">
        <v>8</v>
      </c>
      <c r="Y221" t="s">
        <v>8</v>
      </c>
      <c r="Z221">
        <v>0</v>
      </c>
      <c r="AA221">
        <v>0</v>
      </c>
      <c r="AB221">
        <v>0</v>
      </c>
    </row>
    <row r="222" spans="1:28" x14ac:dyDescent="0.25">
      <c r="A222">
        <v>205</v>
      </c>
      <c r="B222" t="s">
        <v>599</v>
      </c>
      <c r="C222" t="s">
        <v>50</v>
      </c>
      <c r="D222" s="6">
        <f t="shared" si="19"/>
        <v>0</v>
      </c>
      <c r="E222">
        <v>0</v>
      </c>
      <c r="F222">
        <v>0</v>
      </c>
      <c r="G222" s="3">
        <f t="shared" si="15"/>
        <v>0</v>
      </c>
      <c r="H222" s="3">
        <f t="shared" si="16"/>
        <v>0</v>
      </c>
      <c r="I222" s="3">
        <f t="shared" si="17"/>
        <v>0</v>
      </c>
      <c r="J222" s="3">
        <f t="shared" si="18"/>
        <v>1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t="s">
        <v>8</v>
      </c>
      <c r="R222" t="s">
        <v>8</v>
      </c>
      <c r="S222" t="s">
        <v>7</v>
      </c>
      <c r="T222" t="s">
        <v>8</v>
      </c>
      <c r="U222" t="s">
        <v>8</v>
      </c>
      <c r="V222" t="s">
        <v>8</v>
      </c>
      <c r="W222" t="s">
        <v>8</v>
      </c>
      <c r="X222" t="s">
        <v>8</v>
      </c>
      <c r="Y222" t="s">
        <v>8</v>
      </c>
      <c r="Z222" t="s">
        <v>8</v>
      </c>
      <c r="AA222">
        <v>0</v>
      </c>
      <c r="AB222" t="s">
        <v>8</v>
      </c>
    </row>
    <row r="223" spans="1:28" x14ac:dyDescent="0.25">
      <c r="A223">
        <v>205</v>
      </c>
      <c r="B223" t="s">
        <v>597</v>
      </c>
      <c r="C223" t="s">
        <v>32</v>
      </c>
      <c r="D223" s="6">
        <f t="shared" si="19"/>
        <v>0</v>
      </c>
      <c r="E223">
        <v>0</v>
      </c>
      <c r="F223">
        <v>0</v>
      </c>
      <c r="G223" s="3">
        <f t="shared" si="15"/>
        <v>0</v>
      </c>
      <c r="H223" s="3">
        <f t="shared" si="16"/>
        <v>0</v>
      </c>
      <c r="I223" s="3">
        <f t="shared" si="17"/>
        <v>0</v>
      </c>
      <c r="J223" s="3">
        <f t="shared" si="18"/>
        <v>1</v>
      </c>
      <c r="K223" t="s">
        <v>8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  <c r="Q223" t="s">
        <v>7</v>
      </c>
      <c r="R223" t="s">
        <v>8</v>
      </c>
      <c r="S223" t="s">
        <v>8</v>
      </c>
      <c r="T223" t="s">
        <v>8</v>
      </c>
      <c r="U223" t="s">
        <v>8</v>
      </c>
      <c r="V223" t="s">
        <v>8</v>
      </c>
      <c r="W223" t="s">
        <v>8</v>
      </c>
      <c r="X223" t="s">
        <v>8</v>
      </c>
      <c r="Y223" t="s">
        <v>8</v>
      </c>
      <c r="Z223" t="s">
        <v>8</v>
      </c>
      <c r="AA223" t="s">
        <v>8</v>
      </c>
      <c r="AB223">
        <v>0</v>
      </c>
    </row>
    <row r="224" spans="1:28" x14ac:dyDescent="0.25">
      <c r="A224">
        <v>205</v>
      </c>
      <c r="B224" t="s">
        <v>607</v>
      </c>
      <c r="C224" t="s">
        <v>14</v>
      </c>
      <c r="D224" s="6">
        <f t="shared" si="19"/>
        <v>0</v>
      </c>
      <c r="E224">
        <v>0</v>
      </c>
      <c r="F224">
        <v>0</v>
      </c>
      <c r="G224" s="3">
        <f t="shared" si="15"/>
        <v>0</v>
      </c>
      <c r="H224" s="3">
        <f t="shared" si="16"/>
        <v>0</v>
      </c>
      <c r="I224" s="3">
        <f t="shared" si="17"/>
        <v>0</v>
      </c>
      <c r="J224" s="3">
        <f t="shared" si="18"/>
        <v>3</v>
      </c>
      <c r="K224" t="s">
        <v>8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  <c r="Q224" t="s">
        <v>8</v>
      </c>
      <c r="R224" t="s">
        <v>8</v>
      </c>
      <c r="S224" t="s">
        <v>8</v>
      </c>
      <c r="T224">
        <v>0</v>
      </c>
      <c r="U224">
        <v>0</v>
      </c>
      <c r="V224">
        <v>0</v>
      </c>
      <c r="W224" t="s">
        <v>8</v>
      </c>
      <c r="X224" t="s">
        <v>8</v>
      </c>
      <c r="Y224" t="s">
        <v>8</v>
      </c>
      <c r="Z224" t="s">
        <v>8</v>
      </c>
      <c r="AA224" t="s">
        <v>8</v>
      </c>
      <c r="AB224" t="s">
        <v>8</v>
      </c>
    </row>
    <row r="225" spans="1:28" x14ac:dyDescent="0.25">
      <c r="A225">
        <v>205</v>
      </c>
      <c r="B225" t="s">
        <v>596</v>
      </c>
      <c r="C225" t="s">
        <v>28</v>
      </c>
      <c r="D225" s="6">
        <f t="shared" si="19"/>
        <v>0</v>
      </c>
      <c r="E225">
        <v>0</v>
      </c>
      <c r="F225">
        <v>0</v>
      </c>
      <c r="G225" s="3">
        <f t="shared" si="15"/>
        <v>0</v>
      </c>
      <c r="H225" s="3">
        <f t="shared" si="16"/>
        <v>0</v>
      </c>
      <c r="I225" s="3">
        <f t="shared" si="17"/>
        <v>0</v>
      </c>
      <c r="J225" s="3">
        <f t="shared" si="18"/>
        <v>5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8</v>
      </c>
      <c r="R225">
        <v>0</v>
      </c>
      <c r="S225">
        <v>0</v>
      </c>
      <c r="T225" t="s">
        <v>8</v>
      </c>
      <c r="U225">
        <v>0</v>
      </c>
      <c r="V225">
        <v>0</v>
      </c>
      <c r="W225">
        <v>0</v>
      </c>
      <c r="X225" t="s">
        <v>7</v>
      </c>
      <c r="Y225" t="s">
        <v>8</v>
      </c>
      <c r="Z225" t="s">
        <v>8</v>
      </c>
      <c r="AA225" t="s">
        <v>8</v>
      </c>
      <c r="AB225" t="s">
        <v>8</v>
      </c>
    </row>
    <row r="226" spans="1:28" x14ac:dyDescent="0.25">
      <c r="A226">
        <v>205</v>
      </c>
      <c r="B226" t="s">
        <v>610</v>
      </c>
      <c r="C226" t="s">
        <v>90</v>
      </c>
      <c r="D226" s="6">
        <f t="shared" si="19"/>
        <v>0</v>
      </c>
      <c r="E226">
        <v>0</v>
      </c>
      <c r="F226">
        <v>0</v>
      </c>
      <c r="G226" s="3">
        <f t="shared" si="15"/>
        <v>0</v>
      </c>
      <c r="H226" s="3">
        <f t="shared" si="16"/>
        <v>0</v>
      </c>
      <c r="I226" s="3">
        <f t="shared" si="17"/>
        <v>0</v>
      </c>
      <c r="J226" s="3">
        <f t="shared" si="18"/>
        <v>2</v>
      </c>
      <c r="K226">
        <v>0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  <c r="Q226" t="s">
        <v>8</v>
      </c>
      <c r="R226">
        <v>0</v>
      </c>
      <c r="S226" t="s">
        <v>8</v>
      </c>
      <c r="T226" t="s">
        <v>8</v>
      </c>
      <c r="U226" t="s">
        <v>8</v>
      </c>
      <c r="V226" t="s">
        <v>8</v>
      </c>
      <c r="W226" t="s">
        <v>8</v>
      </c>
      <c r="X226" t="s">
        <v>8</v>
      </c>
      <c r="Y226" t="s">
        <v>8</v>
      </c>
      <c r="Z226" t="s">
        <v>8</v>
      </c>
      <c r="AA226" t="s">
        <v>8</v>
      </c>
      <c r="AB226" t="s">
        <v>8</v>
      </c>
    </row>
    <row r="227" spans="1:28" x14ac:dyDescent="0.25">
      <c r="A227">
        <v>205</v>
      </c>
      <c r="B227" t="s">
        <v>296</v>
      </c>
      <c r="C227" t="s">
        <v>90</v>
      </c>
      <c r="D227" s="6">
        <f t="shared" si="19"/>
        <v>0</v>
      </c>
      <c r="E227">
        <v>0</v>
      </c>
      <c r="F227">
        <v>0</v>
      </c>
      <c r="G227" s="3">
        <f t="shared" si="15"/>
        <v>0</v>
      </c>
      <c r="H227" s="3">
        <f t="shared" si="16"/>
        <v>0</v>
      </c>
      <c r="I227" s="3">
        <f t="shared" si="17"/>
        <v>0</v>
      </c>
      <c r="J227" s="3">
        <f t="shared" si="18"/>
        <v>2</v>
      </c>
      <c r="K227" t="s">
        <v>8</v>
      </c>
      <c r="L227" t="s">
        <v>8</v>
      </c>
      <c r="M227" t="s">
        <v>8</v>
      </c>
      <c r="N227" t="s">
        <v>8</v>
      </c>
      <c r="O227" t="s">
        <v>8</v>
      </c>
      <c r="P227" t="s">
        <v>8</v>
      </c>
      <c r="Q227" t="s">
        <v>8</v>
      </c>
      <c r="R227" t="s">
        <v>8</v>
      </c>
      <c r="S227" t="s">
        <v>8</v>
      </c>
      <c r="T227" t="s">
        <v>8</v>
      </c>
      <c r="U227" t="s">
        <v>8</v>
      </c>
      <c r="V227" t="s">
        <v>8</v>
      </c>
      <c r="W227">
        <v>0</v>
      </c>
      <c r="X227" t="s">
        <v>8</v>
      </c>
      <c r="Y227" t="s">
        <v>8</v>
      </c>
      <c r="Z227">
        <v>0</v>
      </c>
      <c r="AA227" t="s">
        <v>8</v>
      </c>
      <c r="AB227" t="s">
        <v>8</v>
      </c>
    </row>
    <row r="228" spans="1:28" x14ac:dyDescent="0.25">
      <c r="A228">
        <v>205</v>
      </c>
      <c r="B228" t="s">
        <v>606</v>
      </c>
      <c r="C228" t="s">
        <v>90</v>
      </c>
      <c r="D228" s="6">
        <f t="shared" si="19"/>
        <v>0</v>
      </c>
      <c r="E228">
        <v>0</v>
      </c>
      <c r="F228">
        <v>0</v>
      </c>
      <c r="G228" s="3">
        <f t="shared" si="15"/>
        <v>0</v>
      </c>
      <c r="H228" s="3">
        <f t="shared" si="16"/>
        <v>0</v>
      </c>
      <c r="I228" s="3">
        <f t="shared" si="17"/>
        <v>0</v>
      </c>
      <c r="J228" s="3">
        <f t="shared" si="18"/>
        <v>1</v>
      </c>
      <c r="K228" t="s">
        <v>8</v>
      </c>
      <c r="L228" t="s">
        <v>8</v>
      </c>
      <c r="M228" t="s">
        <v>8</v>
      </c>
      <c r="N228" t="s">
        <v>8</v>
      </c>
      <c r="O228" t="s">
        <v>8</v>
      </c>
      <c r="P228" t="s">
        <v>8</v>
      </c>
      <c r="Q228" t="s">
        <v>8</v>
      </c>
      <c r="R228" t="s">
        <v>8</v>
      </c>
      <c r="S228" t="s">
        <v>8</v>
      </c>
      <c r="T228" t="s">
        <v>8</v>
      </c>
      <c r="U228" t="s">
        <v>8</v>
      </c>
      <c r="V228" t="s">
        <v>8</v>
      </c>
      <c r="W228" t="s">
        <v>8</v>
      </c>
      <c r="X228" t="s">
        <v>8</v>
      </c>
      <c r="Y228" t="s">
        <v>8</v>
      </c>
      <c r="Z228">
        <v>0</v>
      </c>
      <c r="AA228" t="s">
        <v>8</v>
      </c>
      <c r="AB228" t="s">
        <v>8</v>
      </c>
    </row>
    <row r="229" spans="1:28" x14ac:dyDescent="0.25">
      <c r="A229">
        <v>205</v>
      </c>
      <c r="B229" t="s">
        <v>333</v>
      </c>
      <c r="C229" t="s">
        <v>55</v>
      </c>
      <c r="D229" s="6">
        <f t="shared" si="19"/>
        <v>0</v>
      </c>
      <c r="E229">
        <v>0</v>
      </c>
      <c r="F229">
        <v>0</v>
      </c>
      <c r="G229" s="3">
        <f t="shared" si="15"/>
        <v>0</v>
      </c>
      <c r="H229" s="3">
        <f t="shared" si="16"/>
        <v>0</v>
      </c>
      <c r="I229" s="3">
        <f t="shared" si="17"/>
        <v>0</v>
      </c>
      <c r="J229" s="3">
        <f t="shared" si="18"/>
        <v>5</v>
      </c>
      <c r="K229" t="s">
        <v>8</v>
      </c>
      <c r="L229" t="s">
        <v>8</v>
      </c>
      <c r="M229">
        <v>0</v>
      </c>
      <c r="N229">
        <v>0</v>
      </c>
      <c r="O229">
        <v>0</v>
      </c>
      <c r="P229">
        <v>0</v>
      </c>
      <c r="Q229" t="s">
        <v>8</v>
      </c>
      <c r="R229" t="s">
        <v>8</v>
      </c>
      <c r="S229" t="s">
        <v>8</v>
      </c>
      <c r="T229" t="s">
        <v>8</v>
      </c>
      <c r="U229" t="s">
        <v>8</v>
      </c>
      <c r="V229">
        <v>0</v>
      </c>
      <c r="W229" t="s">
        <v>7</v>
      </c>
      <c r="X229" t="s">
        <v>8</v>
      </c>
      <c r="Y229" t="s">
        <v>8</v>
      </c>
      <c r="Z229" t="s">
        <v>8</v>
      </c>
      <c r="AA229" t="s">
        <v>8</v>
      </c>
      <c r="AB229" t="s">
        <v>8</v>
      </c>
    </row>
    <row r="230" spans="1:28" x14ac:dyDescent="0.25">
      <c r="A230">
        <v>205</v>
      </c>
      <c r="B230" t="s">
        <v>611</v>
      </c>
      <c r="C230" t="s">
        <v>90</v>
      </c>
      <c r="D230" s="6">
        <f t="shared" si="19"/>
        <v>0</v>
      </c>
      <c r="E230">
        <v>0</v>
      </c>
      <c r="F230">
        <v>0</v>
      </c>
      <c r="G230" s="3">
        <f t="shared" si="15"/>
        <v>0</v>
      </c>
      <c r="H230" s="3">
        <f t="shared" si="16"/>
        <v>0</v>
      </c>
      <c r="I230" s="3">
        <f t="shared" si="17"/>
        <v>0</v>
      </c>
      <c r="J230" s="3">
        <f t="shared" si="18"/>
        <v>1</v>
      </c>
      <c r="K230" t="s">
        <v>8</v>
      </c>
      <c r="L230" t="s">
        <v>8</v>
      </c>
      <c r="M230" t="s">
        <v>8</v>
      </c>
      <c r="N230" t="s">
        <v>8</v>
      </c>
      <c r="O230" t="s">
        <v>8</v>
      </c>
      <c r="P230" t="s">
        <v>8</v>
      </c>
      <c r="Q230">
        <v>0</v>
      </c>
      <c r="R230" t="s">
        <v>8</v>
      </c>
      <c r="S230" t="s">
        <v>8</v>
      </c>
      <c r="T230" t="s">
        <v>8</v>
      </c>
      <c r="U230" t="s">
        <v>8</v>
      </c>
      <c r="V230" t="s">
        <v>8</v>
      </c>
      <c r="W230" t="s">
        <v>8</v>
      </c>
      <c r="X230" t="s">
        <v>8</v>
      </c>
      <c r="Y230" t="s">
        <v>8</v>
      </c>
      <c r="Z230" t="s">
        <v>8</v>
      </c>
      <c r="AA230" t="s">
        <v>8</v>
      </c>
      <c r="AB230" t="s">
        <v>8</v>
      </c>
    </row>
    <row r="231" spans="1:28" x14ac:dyDescent="0.25">
      <c r="A231">
        <v>205</v>
      </c>
      <c r="B231" t="s">
        <v>338</v>
      </c>
      <c r="C231" t="s">
        <v>90</v>
      </c>
      <c r="D231" s="6">
        <f t="shared" si="19"/>
        <v>0</v>
      </c>
      <c r="E231">
        <v>0</v>
      </c>
      <c r="F231">
        <v>0</v>
      </c>
      <c r="G231" s="3">
        <f t="shared" si="15"/>
        <v>0</v>
      </c>
      <c r="H231" s="3">
        <f t="shared" si="16"/>
        <v>0</v>
      </c>
      <c r="I231" s="3">
        <f t="shared" si="17"/>
        <v>0</v>
      </c>
      <c r="J231" s="3">
        <f t="shared" si="18"/>
        <v>7</v>
      </c>
      <c r="K231" t="s">
        <v>8</v>
      </c>
      <c r="L231" t="s">
        <v>8</v>
      </c>
      <c r="M231">
        <v>0</v>
      </c>
      <c r="N231" t="s">
        <v>8</v>
      </c>
      <c r="O231">
        <v>0</v>
      </c>
      <c r="P231" t="s">
        <v>8</v>
      </c>
      <c r="Q231" t="s">
        <v>8</v>
      </c>
      <c r="R231" t="s">
        <v>8</v>
      </c>
      <c r="S231" t="s">
        <v>8</v>
      </c>
      <c r="T231" t="s">
        <v>8</v>
      </c>
      <c r="U231" t="s">
        <v>8</v>
      </c>
      <c r="V231" t="s">
        <v>8</v>
      </c>
      <c r="W231">
        <v>0</v>
      </c>
      <c r="X231">
        <v>0</v>
      </c>
      <c r="Y231">
        <v>0</v>
      </c>
      <c r="Z231">
        <v>0</v>
      </c>
      <c r="AA231" t="s">
        <v>8</v>
      </c>
      <c r="AB231">
        <v>0</v>
      </c>
    </row>
    <row r="232" spans="1:28" x14ac:dyDescent="0.25">
      <c r="A232">
        <v>205</v>
      </c>
      <c r="B232" t="s">
        <v>614</v>
      </c>
      <c r="C232" t="s">
        <v>76</v>
      </c>
      <c r="D232" s="6">
        <f t="shared" si="19"/>
        <v>0</v>
      </c>
      <c r="E232">
        <v>0</v>
      </c>
      <c r="F232">
        <v>0</v>
      </c>
      <c r="G232" s="3">
        <f t="shared" si="15"/>
        <v>0</v>
      </c>
      <c r="H232" s="3">
        <f t="shared" si="16"/>
        <v>0</v>
      </c>
      <c r="I232" s="3">
        <f t="shared" si="17"/>
        <v>0</v>
      </c>
      <c r="J232" s="3">
        <f t="shared" si="18"/>
        <v>2</v>
      </c>
      <c r="K232" t="s">
        <v>8</v>
      </c>
      <c r="L232" t="s">
        <v>8</v>
      </c>
      <c r="M232">
        <v>0</v>
      </c>
      <c r="N232" t="s">
        <v>8</v>
      </c>
      <c r="O232" t="s">
        <v>8</v>
      </c>
      <c r="P232" t="s">
        <v>8</v>
      </c>
      <c r="Q232" t="s">
        <v>8</v>
      </c>
      <c r="R232" t="s">
        <v>8</v>
      </c>
      <c r="S232" t="s">
        <v>7</v>
      </c>
      <c r="T232" t="s">
        <v>8</v>
      </c>
      <c r="U232" t="s">
        <v>8</v>
      </c>
      <c r="V232">
        <v>0</v>
      </c>
      <c r="W232" t="s">
        <v>8</v>
      </c>
      <c r="X232" t="s">
        <v>8</v>
      </c>
      <c r="Y232" t="s">
        <v>8</v>
      </c>
      <c r="Z232" t="s">
        <v>8</v>
      </c>
      <c r="AA232" t="s">
        <v>8</v>
      </c>
      <c r="AB232" t="s">
        <v>8</v>
      </c>
    </row>
    <row r="233" spans="1:28" x14ac:dyDescent="0.25">
      <c r="A233">
        <v>205</v>
      </c>
      <c r="B233" t="s">
        <v>615</v>
      </c>
      <c r="C233" t="s">
        <v>90</v>
      </c>
      <c r="D233" s="6">
        <f t="shared" si="19"/>
        <v>0</v>
      </c>
      <c r="E233">
        <v>0</v>
      </c>
      <c r="F233">
        <v>0</v>
      </c>
      <c r="G233" s="3">
        <f t="shared" si="15"/>
        <v>0</v>
      </c>
      <c r="H233" s="3">
        <f t="shared" si="16"/>
        <v>0</v>
      </c>
      <c r="I233" s="3">
        <f t="shared" si="17"/>
        <v>0</v>
      </c>
      <c r="J233" s="3">
        <f t="shared" si="18"/>
        <v>1</v>
      </c>
      <c r="K233" t="s">
        <v>8</v>
      </c>
      <c r="L233" t="s">
        <v>8</v>
      </c>
      <c r="M233">
        <v>0</v>
      </c>
      <c r="N233" t="s">
        <v>8</v>
      </c>
      <c r="O233" t="s">
        <v>8</v>
      </c>
      <c r="P233" t="s">
        <v>8</v>
      </c>
      <c r="Q233" t="s">
        <v>8</v>
      </c>
      <c r="R233" t="s">
        <v>8</v>
      </c>
      <c r="S233" t="s">
        <v>8</v>
      </c>
      <c r="T233" t="s">
        <v>8</v>
      </c>
      <c r="U233" t="s">
        <v>8</v>
      </c>
      <c r="V233" t="s">
        <v>8</v>
      </c>
      <c r="W233" t="s">
        <v>8</v>
      </c>
      <c r="X233" t="s">
        <v>8</v>
      </c>
      <c r="Y233" t="s">
        <v>8</v>
      </c>
      <c r="Z233" t="s">
        <v>8</v>
      </c>
      <c r="AA233" t="s">
        <v>8</v>
      </c>
      <c r="AB233" t="s">
        <v>8</v>
      </c>
    </row>
    <row r="234" spans="1:28" x14ac:dyDescent="0.25">
      <c r="A234">
        <v>205</v>
      </c>
      <c r="B234" t="s">
        <v>270</v>
      </c>
      <c r="C234" t="s">
        <v>60</v>
      </c>
      <c r="D234" s="6">
        <f t="shared" si="19"/>
        <v>0</v>
      </c>
      <c r="E234">
        <v>0</v>
      </c>
      <c r="F234">
        <v>0</v>
      </c>
      <c r="G234" s="3">
        <f t="shared" si="15"/>
        <v>0</v>
      </c>
      <c r="H234" s="3">
        <f t="shared" si="16"/>
        <v>0</v>
      </c>
      <c r="I234" s="3">
        <f t="shared" si="17"/>
        <v>0</v>
      </c>
      <c r="J234" s="3">
        <f t="shared" si="18"/>
        <v>1</v>
      </c>
      <c r="K234" t="s">
        <v>8</v>
      </c>
      <c r="L234" t="s">
        <v>8</v>
      </c>
      <c r="M234" t="s">
        <v>8</v>
      </c>
      <c r="N234" t="s">
        <v>8</v>
      </c>
      <c r="O234" t="s">
        <v>8</v>
      </c>
      <c r="P234" t="s">
        <v>8</v>
      </c>
      <c r="Q234" t="s">
        <v>8</v>
      </c>
      <c r="R234" t="s">
        <v>8</v>
      </c>
      <c r="S234" t="s">
        <v>8</v>
      </c>
      <c r="T234" t="s">
        <v>8</v>
      </c>
      <c r="U234" t="s">
        <v>8</v>
      </c>
      <c r="V234" t="s">
        <v>8</v>
      </c>
      <c r="W234" t="s">
        <v>8</v>
      </c>
      <c r="X234" t="s">
        <v>7</v>
      </c>
      <c r="Y234" t="s">
        <v>8</v>
      </c>
      <c r="Z234" t="s">
        <v>8</v>
      </c>
      <c r="AA234">
        <v>0</v>
      </c>
      <c r="AB234" t="s">
        <v>8</v>
      </c>
    </row>
    <row r="235" spans="1:28" x14ac:dyDescent="0.25">
      <c r="A235">
        <v>205</v>
      </c>
      <c r="B235" t="s">
        <v>616</v>
      </c>
      <c r="C235" t="s">
        <v>90</v>
      </c>
      <c r="D235" s="6">
        <f t="shared" si="19"/>
        <v>0</v>
      </c>
      <c r="E235">
        <v>0</v>
      </c>
      <c r="F235">
        <v>0</v>
      </c>
      <c r="G235" s="3">
        <f t="shared" si="15"/>
        <v>0</v>
      </c>
      <c r="H235" s="3">
        <f t="shared" si="16"/>
        <v>0</v>
      </c>
      <c r="I235" s="3">
        <f t="shared" si="17"/>
        <v>0</v>
      </c>
      <c r="J235" s="3">
        <f t="shared" si="18"/>
        <v>6</v>
      </c>
      <c r="K235" t="s">
        <v>8</v>
      </c>
      <c r="L235" t="s">
        <v>8</v>
      </c>
      <c r="M235" t="s">
        <v>8</v>
      </c>
      <c r="N235">
        <v>0</v>
      </c>
      <c r="O235">
        <v>0</v>
      </c>
      <c r="P235" t="s">
        <v>8</v>
      </c>
      <c r="Q235">
        <v>0</v>
      </c>
      <c r="R235" t="s">
        <v>8</v>
      </c>
      <c r="S235" t="s">
        <v>8</v>
      </c>
      <c r="T235" t="s">
        <v>8</v>
      </c>
      <c r="U235" t="s">
        <v>8</v>
      </c>
      <c r="V235" t="s">
        <v>8</v>
      </c>
      <c r="W235" t="s">
        <v>8</v>
      </c>
      <c r="X235">
        <v>0</v>
      </c>
      <c r="Y235" t="s">
        <v>8</v>
      </c>
      <c r="Z235" t="s">
        <v>8</v>
      </c>
      <c r="AA235">
        <v>0</v>
      </c>
      <c r="AB235">
        <v>0</v>
      </c>
    </row>
    <row r="236" spans="1:28" x14ac:dyDescent="0.25">
      <c r="A236">
        <v>205</v>
      </c>
      <c r="B236" t="s">
        <v>358</v>
      </c>
      <c r="C236" t="s">
        <v>76</v>
      </c>
      <c r="D236" s="6">
        <f t="shared" si="19"/>
        <v>0</v>
      </c>
      <c r="E236">
        <v>0</v>
      </c>
      <c r="F236">
        <v>0</v>
      </c>
      <c r="G236" s="3">
        <f t="shared" si="15"/>
        <v>0</v>
      </c>
      <c r="H236" s="3">
        <f t="shared" si="16"/>
        <v>0</v>
      </c>
      <c r="I236" s="3">
        <f t="shared" si="17"/>
        <v>0</v>
      </c>
      <c r="J236" s="3">
        <f t="shared" si="18"/>
        <v>3</v>
      </c>
      <c r="K236" t="s">
        <v>8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t="s">
        <v>8</v>
      </c>
      <c r="R236" t="s">
        <v>8</v>
      </c>
      <c r="S236" t="s">
        <v>7</v>
      </c>
      <c r="T236" t="s">
        <v>8</v>
      </c>
      <c r="U236" t="s">
        <v>8</v>
      </c>
      <c r="V236" t="s">
        <v>8</v>
      </c>
      <c r="W236">
        <v>0</v>
      </c>
      <c r="X236">
        <v>0</v>
      </c>
      <c r="Y236">
        <v>0</v>
      </c>
      <c r="Z236" t="s">
        <v>8</v>
      </c>
      <c r="AA236" t="s">
        <v>8</v>
      </c>
      <c r="AB236" t="s">
        <v>8</v>
      </c>
    </row>
    <row r="237" spans="1:28" x14ac:dyDescent="0.25">
      <c r="A237">
        <v>205</v>
      </c>
      <c r="B237" t="s">
        <v>617</v>
      </c>
      <c r="C237" t="s">
        <v>90</v>
      </c>
      <c r="D237" s="6">
        <f t="shared" si="19"/>
        <v>0</v>
      </c>
      <c r="E237">
        <v>0</v>
      </c>
      <c r="F237">
        <v>0</v>
      </c>
      <c r="G237" s="3">
        <f t="shared" si="15"/>
        <v>0</v>
      </c>
      <c r="H237" s="3">
        <f t="shared" si="16"/>
        <v>0</v>
      </c>
      <c r="I237" s="3">
        <f t="shared" si="17"/>
        <v>0</v>
      </c>
      <c r="J237" s="3">
        <f t="shared" si="18"/>
        <v>3</v>
      </c>
      <c r="K237" t="s">
        <v>8</v>
      </c>
      <c r="L237" t="s">
        <v>8</v>
      </c>
      <c r="M237" t="s">
        <v>8</v>
      </c>
      <c r="N237">
        <v>0</v>
      </c>
      <c r="O237" t="s">
        <v>8</v>
      </c>
      <c r="P237" t="s">
        <v>8</v>
      </c>
      <c r="Q237">
        <v>0</v>
      </c>
      <c r="R237">
        <v>0</v>
      </c>
      <c r="S237" t="s">
        <v>8</v>
      </c>
      <c r="T237" t="s">
        <v>8</v>
      </c>
      <c r="U237" t="s">
        <v>8</v>
      </c>
      <c r="V237" t="s">
        <v>8</v>
      </c>
      <c r="W237" t="s">
        <v>8</v>
      </c>
      <c r="X237" t="s">
        <v>8</v>
      </c>
      <c r="Y237" t="s">
        <v>8</v>
      </c>
      <c r="Z237" t="s">
        <v>8</v>
      </c>
      <c r="AA237" t="s">
        <v>8</v>
      </c>
      <c r="AB237" t="s">
        <v>8</v>
      </c>
    </row>
    <row r="238" spans="1:28" x14ac:dyDescent="0.25">
      <c r="A238">
        <v>205</v>
      </c>
      <c r="B238" t="s">
        <v>618</v>
      </c>
      <c r="C238" t="s">
        <v>90</v>
      </c>
      <c r="D238" s="6">
        <f t="shared" si="19"/>
        <v>0</v>
      </c>
      <c r="E238">
        <v>0</v>
      </c>
      <c r="F238">
        <v>0</v>
      </c>
      <c r="G238" s="3">
        <f t="shared" si="15"/>
        <v>0</v>
      </c>
      <c r="H238" s="3">
        <f t="shared" si="16"/>
        <v>0</v>
      </c>
      <c r="I238" s="3">
        <f t="shared" si="17"/>
        <v>0</v>
      </c>
      <c r="J238" s="3">
        <f t="shared" si="18"/>
        <v>8</v>
      </c>
      <c r="K238" t="s">
        <v>8</v>
      </c>
      <c r="L238" t="s">
        <v>8</v>
      </c>
      <c r="M238" t="s">
        <v>8</v>
      </c>
      <c r="N238" t="s">
        <v>8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8</v>
      </c>
      <c r="X238" t="s">
        <v>8</v>
      </c>
      <c r="Y238" t="s">
        <v>8</v>
      </c>
      <c r="Z238" t="s">
        <v>8</v>
      </c>
      <c r="AA238" t="s">
        <v>8</v>
      </c>
      <c r="AB238" t="s">
        <v>8</v>
      </c>
    </row>
    <row r="239" spans="1:28" x14ac:dyDescent="0.25">
      <c r="A239">
        <v>205</v>
      </c>
      <c r="B239" t="s">
        <v>619</v>
      </c>
      <c r="C239" t="s">
        <v>90</v>
      </c>
      <c r="D239" s="6">
        <f t="shared" si="19"/>
        <v>0</v>
      </c>
      <c r="E239">
        <v>0</v>
      </c>
      <c r="F239">
        <v>0</v>
      </c>
      <c r="G239" s="3">
        <f t="shared" si="15"/>
        <v>0</v>
      </c>
      <c r="H239" s="3">
        <f t="shared" si="16"/>
        <v>0</v>
      </c>
      <c r="I239" s="3">
        <f t="shared" si="17"/>
        <v>0</v>
      </c>
      <c r="J239" s="3">
        <f t="shared" si="18"/>
        <v>2</v>
      </c>
      <c r="K239" t="s">
        <v>8</v>
      </c>
      <c r="L239" t="s">
        <v>8</v>
      </c>
      <c r="M239" t="s">
        <v>8</v>
      </c>
      <c r="N239" t="s">
        <v>8</v>
      </c>
      <c r="O239">
        <v>0</v>
      </c>
      <c r="P239">
        <v>0</v>
      </c>
      <c r="Q239" t="s">
        <v>8</v>
      </c>
      <c r="R239" t="s">
        <v>8</v>
      </c>
      <c r="S239" t="s">
        <v>8</v>
      </c>
      <c r="T239" t="s">
        <v>8</v>
      </c>
      <c r="U239" t="s">
        <v>8</v>
      </c>
      <c r="V239" t="s">
        <v>8</v>
      </c>
      <c r="W239" t="s">
        <v>8</v>
      </c>
      <c r="X239" t="s">
        <v>8</v>
      </c>
      <c r="Y239" t="s">
        <v>8</v>
      </c>
      <c r="Z239" t="s">
        <v>8</v>
      </c>
      <c r="AA239" t="s">
        <v>8</v>
      </c>
      <c r="AB239" t="s">
        <v>8</v>
      </c>
    </row>
    <row r="240" spans="1:28" x14ac:dyDescent="0.25">
      <c r="A240">
        <v>205</v>
      </c>
      <c r="B240" t="s">
        <v>620</v>
      </c>
      <c r="C240" t="s">
        <v>97</v>
      </c>
      <c r="D240" s="6">
        <f t="shared" si="19"/>
        <v>0</v>
      </c>
      <c r="E240">
        <v>0</v>
      </c>
      <c r="F240">
        <v>0</v>
      </c>
      <c r="G240" s="3">
        <f t="shared" si="15"/>
        <v>0</v>
      </c>
      <c r="H240" s="3">
        <f t="shared" si="16"/>
        <v>0</v>
      </c>
      <c r="I240" s="3">
        <f t="shared" si="17"/>
        <v>0</v>
      </c>
      <c r="J240" s="3">
        <f t="shared" si="18"/>
        <v>2</v>
      </c>
      <c r="K240">
        <v>0</v>
      </c>
      <c r="L240" t="s">
        <v>8</v>
      </c>
      <c r="M240" t="s">
        <v>8</v>
      </c>
      <c r="N240" t="s">
        <v>8</v>
      </c>
      <c r="O240" t="s">
        <v>8</v>
      </c>
      <c r="P240" t="s">
        <v>8</v>
      </c>
      <c r="Q240" t="s">
        <v>8</v>
      </c>
      <c r="R240" t="s">
        <v>8</v>
      </c>
      <c r="S240" t="s">
        <v>8</v>
      </c>
      <c r="T240" t="s">
        <v>8</v>
      </c>
      <c r="U240" t="s">
        <v>8</v>
      </c>
      <c r="V240" t="s">
        <v>8</v>
      </c>
      <c r="W240" t="s">
        <v>7</v>
      </c>
      <c r="X240" t="s">
        <v>8</v>
      </c>
      <c r="Y240" t="s">
        <v>8</v>
      </c>
      <c r="Z240" t="s">
        <v>8</v>
      </c>
      <c r="AA240">
        <v>0</v>
      </c>
      <c r="AB240" t="s">
        <v>8</v>
      </c>
    </row>
    <row r="241" spans="1:28" x14ac:dyDescent="0.25">
      <c r="A241">
        <v>205</v>
      </c>
      <c r="B241" t="s">
        <v>605</v>
      </c>
      <c r="C241" t="s">
        <v>90</v>
      </c>
      <c r="D241" s="6">
        <f t="shared" si="19"/>
        <v>0</v>
      </c>
      <c r="E241">
        <v>0</v>
      </c>
      <c r="F241">
        <v>0</v>
      </c>
      <c r="G241" s="3">
        <f t="shared" si="15"/>
        <v>0</v>
      </c>
      <c r="H241" s="3">
        <f t="shared" si="16"/>
        <v>0</v>
      </c>
      <c r="I241" s="3">
        <f t="shared" si="17"/>
        <v>0</v>
      </c>
      <c r="J241" s="3">
        <f t="shared" si="18"/>
        <v>2</v>
      </c>
      <c r="K241">
        <v>0</v>
      </c>
      <c r="L241">
        <v>0</v>
      </c>
      <c r="M241" t="s">
        <v>8</v>
      </c>
      <c r="N241" t="s">
        <v>8</v>
      </c>
      <c r="O241" t="s">
        <v>8</v>
      </c>
      <c r="P241" t="s">
        <v>8</v>
      </c>
      <c r="Q241" t="s">
        <v>8</v>
      </c>
      <c r="R241" t="s">
        <v>8</v>
      </c>
      <c r="S241" t="s">
        <v>8</v>
      </c>
      <c r="T241" t="s">
        <v>8</v>
      </c>
      <c r="U241" t="s">
        <v>8</v>
      </c>
      <c r="V241" t="s">
        <v>8</v>
      </c>
      <c r="W241" t="s">
        <v>8</v>
      </c>
      <c r="X241" t="s">
        <v>8</v>
      </c>
      <c r="Y241" t="s">
        <v>8</v>
      </c>
      <c r="Z241" t="s">
        <v>8</v>
      </c>
      <c r="AA241" t="s">
        <v>8</v>
      </c>
      <c r="AB241" t="s">
        <v>8</v>
      </c>
    </row>
    <row r="242" spans="1:28" x14ac:dyDescent="0.25">
      <c r="A242">
        <v>205</v>
      </c>
      <c r="B242" t="s">
        <v>322</v>
      </c>
      <c r="C242" t="s">
        <v>90</v>
      </c>
      <c r="D242" s="6">
        <f t="shared" si="19"/>
        <v>0</v>
      </c>
      <c r="E242">
        <v>0</v>
      </c>
      <c r="F242">
        <v>0</v>
      </c>
      <c r="G242" s="3">
        <f t="shared" si="15"/>
        <v>0</v>
      </c>
      <c r="H242" s="3">
        <f t="shared" si="16"/>
        <v>0</v>
      </c>
      <c r="I242" s="3">
        <f t="shared" si="17"/>
        <v>0</v>
      </c>
      <c r="J242" s="3">
        <f t="shared" si="18"/>
        <v>1</v>
      </c>
      <c r="K242" t="s">
        <v>8</v>
      </c>
      <c r="L242" t="s">
        <v>8</v>
      </c>
      <c r="M242" t="s">
        <v>8</v>
      </c>
      <c r="N242" t="s">
        <v>8</v>
      </c>
      <c r="O242" t="s">
        <v>8</v>
      </c>
      <c r="P242">
        <v>0</v>
      </c>
      <c r="Q242" t="s">
        <v>8</v>
      </c>
      <c r="R242" t="s">
        <v>8</v>
      </c>
      <c r="S242" t="s">
        <v>8</v>
      </c>
      <c r="T242" t="s">
        <v>8</v>
      </c>
      <c r="U242" t="s">
        <v>8</v>
      </c>
      <c r="V242" t="s">
        <v>8</v>
      </c>
      <c r="W242" t="s">
        <v>8</v>
      </c>
      <c r="X242" t="s">
        <v>8</v>
      </c>
      <c r="Y242" t="s">
        <v>8</v>
      </c>
      <c r="Z242" t="s">
        <v>8</v>
      </c>
      <c r="AA242" t="s">
        <v>8</v>
      </c>
      <c r="AB242" t="s">
        <v>8</v>
      </c>
    </row>
    <row r="243" spans="1:28" x14ac:dyDescent="0.25">
      <c r="A243">
        <v>205</v>
      </c>
      <c r="B243" t="s">
        <v>609</v>
      </c>
      <c r="C243" t="s">
        <v>90</v>
      </c>
      <c r="D243" s="6">
        <f t="shared" si="19"/>
        <v>0</v>
      </c>
      <c r="E243">
        <v>0</v>
      </c>
      <c r="F243">
        <v>0</v>
      </c>
      <c r="G243" s="3">
        <f t="shared" si="15"/>
        <v>0</v>
      </c>
      <c r="H243" s="3">
        <f t="shared" si="16"/>
        <v>0</v>
      </c>
      <c r="I243" s="3">
        <f t="shared" si="17"/>
        <v>0</v>
      </c>
      <c r="J243" s="3">
        <f t="shared" si="18"/>
        <v>4</v>
      </c>
      <c r="K243">
        <v>0</v>
      </c>
      <c r="L243" t="s">
        <v>8</v>
      </c>
      <c r="M243" t="s">
        <v>8</v>
      </c>
      <c r="N243" t="s">
        <v>8</v>
      </c>
      <c r="O243" t="s">
        <v>8</v>
      </c>
      <c r="P243" t="s">
        <v>8</v>
      </c>
      <c r="Q243" t="s">
        <v>8</v>
      </c>
      <c r="R243">
        <v>0</v>
      </c>
      <c r="S243">
        <v>0</v>
      </c>
      <c r="T243">
        <v>0</v>
      </c>
      <c r="U243" t="s">
        <v>8</v>
      </c>
      <c r="V243" t="s">
        <v>8</v>
      </c>
      <c r="W243" t="s">
        <v>8</v>
      </c>
      <c r="X243" t="s">
        <v>8</v>
      </c>
      <c r="Y243" t="s">
        <v>8</v>
      </c>
      <c r="Z243" t="s">
        <v>8</v>
      </c>
      <c r="AA243" t="s">
        <v>8</v>
      </c>
      <c r="AB243" t="s">
        <v>8</v>
      </c>
    </row>
    <row r="244" spans="1:28" x14ac:dyDescent="0.25">
      <c r="A244">
        <v>205</v>
      </c>
      <c r="B244" t="s">
        <v>356</v>
      </c>
      <c r="C244" t="s">
        <v>40</v>
      </c>
      <c r="D244" s="6">
        <f t="shared" si="19"/>
        <v>0</v>
      </c>
      <c r="E244">
        <v>0</v>
      </c>
      <c r="F244">
        <v>0</v>
      </c>
      <c r="G244" s="3">
        <f t="shared" si="15"/>
        <v>0</v>
      </c>
      <c r="H244" s="3">
        <f t="shared" si="16"/>
        <v>0</v>
      </c>
      <c r="I244" s="3">
        <f t="shared" si="17"/>
        <v>0</v>
      </c>
      <c r="J244" s="3">
        <f t="shared" si="18"/>
        <v>11</v>
      </c>
      <c r="K244" t="s">
        <v>8</v>
      </c>
      <c r="L244" t="s">
        <v>8</v>
      </c>
      <c r="M244" t="s">
        <v>8</v>
      </c>
      <c r="N244" t="s">
        <v>8</v>
      </c>
      <c r="O244">
        <v>0</v>
      </c>
      <c r="P244">
        <v>0</v>
      </c>
      <c r="Q244" t="s">
        <v>7</v>
      </c>
      <c r="R244" t="s">
        <v>8</v>
      </c>
      <c r="S244">
        <v>0</v>
      </c>
      <c r="T244">
        <v>0</v>
      </c>
      <c r="U244">
        <v>0</v>
      </c>
      <c r="V244">
        <v>0</v>
      </c>
      <c r="W244" t="s">
        <v>8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244</v>
      </c>
      <c r="B245" t="s">
        <v>318</v>
      </c>
      <c r="C245" t="s">
        <v>47</v>
      </c>
      <c r="D245" s="6">
        <f t="shared" si="19"/>
        <v>0</v>
      </c>
      <c r="E245">
        <v>-0.2</v>
      </c>
      <c r="F245">
        <v>-2</v>
      </c>
      <c r="G245" s="3">
        <f t="shared" si="15"/>
        <v>0</v>
      </c>
      <c r="H245" s="3">
        <f t="shared" si="16"/>
        <v>0</v>
      </c>
      <c r="I245" s="3">
        <f t="shared" si="17"/>
        <v>0</v>
      </c>
      <c r="J245" s="3">
        <f t="shared" si="18"/>
        <v>10</v>
      </c>
      <c r="K245" t="s">
        <v>8</v>
      </c>
      <c r="L245" t="s">
        <v>8</v>
      </c>
      <c r="M245" t="s">
        <v>8</v>
      </c>
      <c r="N245" t="s">
        <v>8</v>
      </c>
      <c r="O245" t="s">
        <v>8</v>
      </c>
      <c r="P245" t="s">
        <v>8</v>
      </c>
      <c r="Q245" t="s">
        <v>7</v>
      </c>
      <c r="R245" t="s">
        <v>8</v>
      </c>
      <c r="S245">
        <v>0</v>
      </c>
      <c r="T245">
        <v>-2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245</v>
      </c>
      <c r="B246" t="s">
        <v>317</v>
      </c>
      <c r="C246" t="s">
        <v>76</v>
      </c>
      <c r="D246" s="6">
        <f t="shared" si="19"/>
        <v>0</v>
      </c>
      <c r="E246">
        <v>-0.1</v>
      </c>
      <c r="F246">
        <v>-2.2000000000000002</v>
      </c>
      <c r="G246" s="3">
        <f t="shared" si="15"/>
        <v>0</v>
      </c>
      <c r="H246" s="3">
        <f t="shared" si="16"/>
        <v>0</v>
      </c>
      <c r="I246" s="3">
        <f t="shared" si="17"/>
        <v>0</v>
      </c>
      <c r="J246" s="3">
        <f t="shared" si="18"/>
        <v>16</v>
      </c>
      <c r="K246">
        <v>0</v>
      </c>
      <c r="L246">
        <v>0</v>
      </c>
      <c r="M246" t="s">
        <v>8</v>
      </c>
      <c r="N246">
        <v>0</v>
      </c>
      <c r="O246">
        <v>0</v>
      </c>
      <c r="P246">
        <v>0</v>
      </c>
      <c r="Q246">
        <v>0</v>
      </c>
      <c r="R246">
        <v>-0.2</v>
      </c>
      <c r="S246">
        <v>0</v>
      </c>
      <c r="T246">
        <v>0</v>
      </c>
      <c r="U246">
        <v>0</v>
      </c>
      <c r="V246">
        <v>0</v>
      </c>
      <c r="W246" t="s">
        <v>8</v>
      </c>
      <c r="X246">
        <v>0</v>
      </c>
      <c r="Y246">
        <v>-2</v>
      </c>
      <c r="Z246">
        <v>0</v>
      </c>
      <c r="AA246">
        <v>0</v>
      </c>
      <c r="AB246">
        <v>0</v>
      </c>
    </row>
    <row r="260" spans="6:28" x14ac:dyDescent="0.25">
      <c r="F260" s="3"/>
      <c r="J260" s="4"/>
      <c r="AB260" s="3"/>
    </row>
  </sheetData>
  <conditionalFormatting sqref="K2:AB2">
    <cfRule type="cellIs" dxfId="9" priority="1" operator="lessThan">
      <formula>7.6</formula>
    </cfRule>
    <cfRule type="cellIs" dxfId="8" priority="2" operator="greaterThanOrEqual">
      <formula>7.6</formula>
    </cfRule>
  </conditionalFormatting>
  <conditionalFormatting sqref="K2:AB51">
    <cfRule type="cellIs" dxfId="7" priority="3" operator="lessThan">
      <formula>11.45</formula>
    </cfRule>
    <cfRule type="cellIs" dxfId="6" priority="4" operator="greaterThanOrEqual">
      <formula>11.45</formula>
    </cfRule>
  </conditionalFormatting>
  <conditionalFormatting sqref="AE37">
    <cfRule type="cellIs" dxfId="5" priority="5" operator="greaterThanOrEqual">
      <formula>11.45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7FAE-E3B6-49DF-B205-C132E861EDD3}">
  <dimension ref="A1:AF26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03" sqref="D103"/>
    </sheetView>
  </sheetViews>
  <sheetFormatPr defaultColWidth="9.140625" defaultRowHeight="15" x14ac:dyDescent="0.25"/>
  <cols>
    <col min="1" max="1" width="4" style="4" bestFit="1" customWidth="1"/>
    <col min="2" max="2" width="24.42578125" style="5" bestFit="1" customWidth="1"/>
    <col min="3" max="3" width="5.85546875" style="4" bestFit="1" customWidth="1"/>
    <col min="4" max="4" width="5.85546875" style="4" customWidth="1"/>
    <col min="5" max="5" width="5" style="4" bestFit="1" customWidth="1"/>
    <col min="6" max="6" width="6" style="4" bestFit="1" customWidth="1"/>
    <col min="7" max="9" width="10.7109375" style="3" bestFit="1" customWidth="1"/>
    <col min="10" max="10" width="13.85546875" style="3" bestFit="1" customWidth="1"/>
    <col min="11" max="28" width="5" style="4" bestFit="1" customWidth="1"/>
    <col min="29" max="30" width="9.140625" style="3"/>
    <col min="31" max="31" width="3" style="3" bestFit="1" customWidth="1"/>
    <col min="32" max="16384" width="9.140625" style="3"/>
  </cols>
  <sheetData>
    <row r="1" spans="1:28" s="2" customFormat="1" x14ac:dyDescent="0.25">
      <c r="A1" s="1" t="s">
        <v>0</v>
      </c>
      <c r="B1" s="1" t="s">
        <v>1</v>
      </c>
      <c r="C1" s="1" t="s">
        <v>2</v>
      </c>
      <c r="D1" s="1" t="s">
        <v>462</v>
      </c>
      <c r="E1" s="1" t="s">
        <v>3</v>
      </c>
      <c r="F1" s="1" t="s">
        <v>4</v>
      </c>
      <c r="G1" s="2" t="s">
        <v>113</v>
      </c>
      <c r="H1" s="2" t="s">
        <v>114</v>
      </c>
      <c r="I1" s="2" t="s">
        <v>115</v>
      </c>
      <c r="J1" s="2" t="s">
        <v>112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</row>
    <row r="2" spans="1:28" x14ac:dyDescent="0.25">
      <c r="A2">
        <v>1</v>
      </c>
      <c r="B2" t="s">
        <v>675</v>
      </c>
      <c r="C2" t="s">
        <v>10</v>
      </c>
      <c r="D2">
        <v>8.9</v>
      </c>
      <c r="E2">
        <v>14.1</v>
      </c>
      <c r="F2">
        <v>239.3</v>
      </c>
      <c r="G2" s="3">
        <f t="shared" ref="G2:G51" si="0">COUNTIFS(K2:AB2,"&gt;=10",K2:AB2,"&lt;=99")</f>
        <v>10</v>
      </c>
      <c r="H2" s="3">
        <f t="shared" ref="H2:H51" si="1">COUNTIFS(K2:AB2,"&gt;=20",K2:AB2,"&lt;=99")</f>
        <v>3</v>
      </c>
      <c r="I2" s="3">
        <f t="shared" ref="I2:I51" si="2">COUNTIFS(K2:AB2,"&gt;=30",K2:AB2,"&lt;=99")</f>
        <v>0</v>
      </c>
      <c r="J2" s="3">
        <f t="shared" ref="J2:J51" si="3">COUNT(K2:AB2)</f>
        <v>17</v>
      </c>
      <c r="K2">
        <v>8.9</v>
      </c>
      <c r="L2">
        <v>11.3</v>
      </c>
      <c r="M2">
        <v>22.4</v>
      </c>
      <c r="N2">
        <v>9.6</v>
      </c>
      <c r="O2">
        <v>19.7</v>
      </c>
      <c r="P2">
        <v>7.6</v>
      </c>
      <c r="Q2">
        <v>11.2</v>
      </c>
      <c r="R2">
        <v>19.7</v>
      </c>
      <c r="S2" t="s">
        <v>7</v>
      </c>
      <c r="T2">
        <v>8</v>
      </c>
      <c r="U2">
        <v>6.8</v>
      </c>
      <c r="V2">
        <v>17.7</v>
      </c>
      <c r="W2">
        <v>29</v>
      </c>
      <c r="X2">
        <v>4.7</v>
      </c>
      <c r="Y2">
        <v>28.6</v>
      </c>
      <c r="Z2">
        <v>4.8</v>
      </c>
      <c r="AA2">
        <v>15.4</v>
      </c>
      <c r="AB2">
        <v>13.9</v>
      </c>
    </row>
    <row r="3" spans="1:28" x14ac:dyDescent="0.25">
      <c r="A3">
        <v>2</v>
      </c>
      <c r="B3" t="s">
        <v>676</v>
      </c>
      <c r="C3" t="s">
        <v>50</v>
      </c>
      <c r="D3">
        <v>9.9</v>
      </c>
      <c r="E3">
        <v>13.5</v>
      </c>
      <c r="F3">
        <v>230.3</v>
      </c>
      <c r="G3" s="3">
        <f t="shared" si="0"/>
        <v>10</v>
      </c>
      <c r="H3" s="3">
        <f t="shared" si="1"/>
        <v>3</v>
      </c>
      <c r="I3" s="3">
        <f t="shared" si="2"/>
        <v>1</v>
      </c>
      <c r="J3" s="3">
        <f t="shared" si="3"/>
        <v>17</v>
      </c>
      <c r="K3">
        <v>9.9</v>
      </c>
      <c r="L3">
        <v>11.7</v>
      </c>
      <c r="M3">
        <v>13.7</v>
      </c>
      <c r="N3">
        <v>12.9</v>
      </c>
      <c r="O3">
        <v>6.8</v>
      </c>
      <c r="P3">
        <v>11.1</v>
      </c>
      <c r="Q3">
        <v>9.5</v>
      </c>
      <c r="R3">
        <v>16.8</v>
      </c>
      <c r="S3" t="s">
        <v>7</v>
      </c>
      <c r="T3">
        <v>5.2</v>
      </c>
      <c r="U3">
        <v>6.9</v>
      </c>
      <c r="V3">
        <v>9.9</v>
      </c>
      <c r="W3">
        <v>23.2</v>
      </c>
      <c r="X3">
        <v>32.5</v>
      </c>
      <c r="Y3">
        <v>6.8</v>
      </c>
      <c r="Z3">
        <v>17.5</v>
      </c>
      <c r="AA3">
        <v>12</v>
      </c>
      <c r="AB3">
        <v>23.9</v>
      </c>
    </row>
    <row r="4" spans="1:28" x14ac:dyDescent="0.25">
      <c r="A4">
        <v>3</v>
      </c>
      <c r="B4" t="s">
        <v>677</v>
      </c>
      <c r="C4" t="s">
        <v>62</v>
      </c>
      <c r="D4" t="s">
        <v>8</v>
      </c>
      <c r="E4">
        <v>14.6</v>
      </c>
      <c r="F4">
        <v>219.4</v>
      </c>
      <c r="G4" s="3">
        <f t="shared" si="0"/>
        <v>11</v>
      </c>
      <c r="H4" s="3">
        <f t="shared" si="1"/>
        <v>3</v>
      </c>
      <c r="I4" s="3">
        <f t="shared" si="2"/>
        <v>1</v>
      </c>
      <c r="J4" s="3">
        <f t="shared" si="3"/>
        <v>15</v>
      </c>
      <c r="K4" t="s">
        <v>8</v>
      </c>
      <c r="L4">
        <v>12.6</v>
      </c>
      <c r="M4">
        <v>19.899999999999999</v>
      </c>
      <c r="N4">
        <v>12</v>
      </c>
      <c r="O4">
        <v>22.7</v>
      </c>
      <c r="P4">
        <v>21.4</v>
      </c>
      <c r="Q4">
        <v>35.9</v>
      </c>
      <c r="R4">
        <v>11.8</v>
      </c>
      <c r="S4">
        <v>4.4000000000000004</v>
      </c>
      <c r="T4" t="s">
        <v>7</v>
      </c>
      <c r="U4">
        <v>15.4</v>
      </c>
      <c r="V4">
        <v>15.1</v>
      </c>
      <c r="W4">
        <v>12.1</v>
      </c>
      <c r="X4">
        <v>14.3</v>
      </c>
      <c r="Y4">
        <v>7.8</v>
      </c>
      <c r="Z4">
        <v>9.4</v>
      </c>
      <c r="AA4">
        <v>4.5999999999999996</v>
      </c>
      <c r="AB4" t="s">
        <v>8</v>
      </c>
    </row>
    <row r="5" spans="1:28" x14ac:dyDescent="0.25">
      <c r="A5">
        <v>4</v>
      </c>
      <c r="B5" t="s">
        <v>678</v>
      </c>
      <c r="C5" t="s">
        <v>38</v>
      </c>
      <c r="D5">
        <v>11.5</v>
      </c>
      <c r="E5">
        <v>14.6</v>
      </c>
      <c r="F5">
        <v>219</v>
      </c>
      <c r="G5" s="3">
        <f t="shared" si="0"/>
        <v>12</v>
      </c>
      <c r="H5" s="3">
        <f t="shared" si="1"/>
        <v>3</v>
      </c>
      <c r="I5" s="3">
        <f t="shared" si="2"/>
        <v>1</v>
      </c>
      <c r="J5" s="3">
        <f t="shared" si="3"/>
        <v>15</v>
      </c>
      <c r="K5">
        <v>11.5</v>
      </c>
      <c r="L5">
        <v>25.6</v>
      </c>
      <c r="M5">
        <v>13.8</v>
      </c>
      <c r="N5">
        <v>4.4000000000000004</v>
      </c>
      <c r="O5">
        <v>10.1</v>
      </c>
      <c r="P5">
        <v>11</v>
      </c>
      <c r="Q5">
        <v>19.600000000000001</v>
      </c>
      <c r="R5">
        <v>20.8</v>
      </c>
      <c r="S5">
        <v>13.9</v>
      </c>
      <c r="T5">
        <v>30.4</v>
      </c>
      <c r="U5">
        <v>9.5</v>
      </c>
      <c r="V5">
        <v>16</v>
      </c>
      <c r="W5" t="s">
        <v>7</v>
      </c>
      <c r="X5">
        <v>10.3</v>
      </c>
      <c r="Y5">
        <v>12.3</v>
      </c>
      <c r="Z5">
        <v>9.8000000000000007</v>
      </c>
      <c r="AA5" t="s">
        <v>8</v>
      </c>
      <c r="AB5" t="s">
        <v>8</v>
      </c>
    </row>
    <row r="6" spans="1:28" x14ac:dyDescent="0.25">
      <c r="A6">
        <v>5</v>
      </c>
      <c r="B6" t="s">
        <v>679</v>
      </c>
      <c r="C6" t="s">
        <v>76</v>
      </c>
      <c r="D6">
        <v>4.9000000000000004</v>
      </c>
      <c r="E6">
        <v>12.7</v>
      </c>
      <c r="F6">
        <v>203.2</v>
      </c>
      <c r="G6" s="3">
        <f t="shared" si="0"/>
        <v>9</v>
      </c>
      <c r="H6" s="3">
        <f t="shared" si="1"/>
        <v>4</v>
      </c>
      <c r="I6" s="3">
        <f t="shared" si="2"/>
        <v>0</v>
      </c>
      <c r="J6" s="3">
        <f t="shared" si="3"/>
        <v>16</v>
      </c>
      <c r="K6">
        <v>4.9000000000000004</v>
      </c>
      <c r="L6">
        <v>6</v>
      </c>
      <c r="M6">
        <v>16</v>
      </c>
      <c r="N6">
        <v>1.9</v>
      </c>
      <c r="O6">
        <v>27.7</v>
      </c>
      <c r="P6">
        <v>1.1000000000000001</v>
      </c>
      <c r="Q6">
        <v>13</v>
      </c>
      <c r="R6">
        <v>23.9</v>
      </c>
      <c r="S6" t="s">
        <v>7</v>
      </c>
      <c r="T6">
        <v>20.6</v>
      </c>
      <c r="U6">
        <v>22.9</v>
      </c>
      <c r="V6">
        <v>4.9000000000000004</v>
      </c>
      <c r="W6">
        <v>10.8</v>
      </c>
      <c r="X6">
        <v>16.600000000000001</v>
      </c>
      <c r="Y6">
        <v>7.4</v>
      </c>
      <c r="Z6">
        <v>19.600000000000001</v>
      </c>
      <c r="AA6">
        <v>5.9</v>
      </c>
      <c r="AB6" t="s">
        <v>8</v>
      </c>
    </row>
    <row r="7" spans="1:28" x14ac:dyDescent="0.25">
      <c r="A7">
        <v>6</v>
      </c>
      <c r="B7" t="s">
        <v>680</v>
      </c>
      <c r="C7" t="s">
        <v>69</v>
      </c>
      <c r="D7">
        <v>4.4000000000000004</v>
      </c>
      <c r="E7">
        <v>12.6</v>
      </c>
      <c r="F7">
        <v>201.2</v>
      </c>
      <c r="G7" s="3">
        <f t="shared" si="0"/>
        <v>11</v>
      </c>
      <c r="H7" s="3">
        <f t="shared" si="1"/>
        <v>2</v>
      </c>
      <c r="I7" s="3">
        <f t="shared" si="2"/>
        <v>0</v>
      </c>
      <c r="J7" s="3">
        <f t="shared" si="3"/>
        <v>16</v>
      </c>
      <c r="K7">
        <v>4.4000000000000004</v>
      </c>
      <c r="L7">
        <v>6.8</v>
      </c>
      <c r="M7">
        <v>6</v>
      </c>
      <c r="N7">
        <v>10.6</v>
      </c>
      <c r="O7" t="s">
        <v>7</v>
      </c>
      <c r="P7">
        <v>5.4</v>
      </c>
      <c r="Q7">
        <v>10.4</v>
      </c>
      <c r="R7">
        <v>17.7</v>
      </c>
      <c r="S7">
        <v>12.6</v>
      </c>
      <c r="T7">
        <v>11.8</v>
      </c>
      <c r="U7">
        <v>12.6</v>
      </c>
      <c r="V7">
        <v>11.9</v>
      </c>
      <c r="W7">
        <v>3.7</v>
      </c>
      <c r="X7">
        <v>27.1</v>
      </c>
      <c r="Y7">
        <v>26.4</v>
      </c>
      <c r="Z7">
        <v>16.399999999999999</v>
      </c>
      <c r="AA7">
        <v>17.399999999999999</v>
      </c>
      <c r="AB7" t="s">
        <v>8</v>
      </c>
    </row>
    <row r="8" spans="1:28" x14ac:dyDescent="0.25">
      <c r="A8">
        <v>7</v>
      </c>
      <c r="B8" t="s">
        <v>681</v>
      </c>
      <c r="C8" t="s">
        <v>28</v>
      </c>
      <c r="D8">
        <v>4.3</v>
      </c>
      <c r="E8">
        <v>10.7</v>
      </c>
      <c r="F8">
        <v>181.5</v>
      </c>
      <c r="G8" s="3">
        <f t="shared" si="0"/>
        <v>8</v>
      </c>
      <c r="H8" s="3">
        <f t="shared" si="1"/>
        <v>4</v>
      </c>
      <c r="I8" s="3">
        <f t="shared" si="2"/>
        <v>0</v>
      </c>
      <c r="J8" s="3">
        <f t="shared" si="3"/>
        <v>17</v>
      </c>
      <c r="K8">
        <v>4.3</v>
      </c>
      <c r="L8">
        <v>5.2</v>
      </c>
      <c r="M8">
        <v>1.2</v>
      </c>
      <c r="N8">
        <v>1.5</v>
      </c>
      <c r="O8">
        <v>3.7</v>
      </c>
      <c r="P8">
        <v>10.199999999999999</v>
      </c>
      <c r="Q8">
        <v>5.9</v>
      </c>
      <c r="R8">
        <v>25.5</v>
      </c>
      <c r="S8">
        <v>5.2</v>
      </c>
      <c r="T8">
        <v>21.1</v>
      </c>
      <c r="U8">
        <v>9.3000000000000007</v>
      </c>
      <c r="V8">
        <v>13</v>
      </c>
      <c r="W8">
        <v>22.9</v>
      </c>
      <c r="X8" t="s">
        <v>7</v>
      </c>
      <c r="Y8">
        <v>20.2</v>
      </c>
      <c r="Z8">
        <v>9.1</v>
      </c>
      <c r="AA8">
        <v>10.8</v>
      </c>
      <c r="AB8">
        <v>12.4</v>
      </c>
    </row>
    <row r="9" spans="1:28" x14ac:dyDescent="0.25">
      <c r="A9">
        <v>8</v>
      </c>
      <c r="B9" t="s">
        <v>682</v>
      </c>
      <c r="C9" t="s">
        <v>43</v>
      </c>
      <c r="D9">
        <v>9.4</v>
      </c>
      <c r="E9">
        <v>10.7</v>
      </c>
      <c r="F9">
        <v>181.1</v>
      </c>
      <c r="G9" s="3">
        <f t="shared" si="0"/>
        <v>8</v>
      </c>
      <c r="H9" s="3">
        <f t="shared" si="1"/>
        <v>2</v>
      </c>
      <c r="I9" s="3">
        <f t="shared" si="2"/>
        <v>0</v>
      </c>
      <c r="J9" s="3">
        <f t="shared" si="3"/>
        <v>17</v>
      </c>
      <c r="K9">
        <v>9.4</v>
      </c>
      <c r="L9">
        <v>7.8</v>
      </c>
      <c r="M9">
        <v>4.2</v>
      </c>
      <c r="N9">
        <v>27.6</v>
      </c>
      <c r="O9">
        <v>15.2</v>
      </c>
      <c r="P9">
        <v>2.9</v>
      </c>
      <c r="Q9">
        <v>0</v>
      </c>
      <c r="R9">
        <v>17.899999999999999</v>
      </c>
      <c r="S9">
        <v>23.5</v>
      </c>
      <c r="T9">
        <v>9.6</v>
      </c>
      <c r="U9">
        <v>5</v>
      </c>
      <c r="V9">
        <v>11.3</v>
      </c>
      <c r="W9" t="s">
        <v>7</v>
      </c>
      <c r="X9">
        <v>11.6</v>
      </c>
      <c r="Y9">
        <v>13.3</v>
      </c>
      <c r="Z9">
        <v>14.7</v>
      </c>
      <c r="AA9">
        <v>0</v>
      </c>
      <c r="AB9">
        <v>7.1</v>
      </c>
    </row>
    <row r="10" spans="1:28" x14ac:dyDescent="0.25">
      <c r="A10">
        <v>9</v>
      </c>
      <c r="B10" t="s">
        <v>683</v>
      </c>
      <c r="C10" t="s">
        <v>64</v>
      </c>
      <c r="D10">
        <v>3.1</v>
      </c>
      <c r="E10">
        <v>10.4</v>
      </c>
      <c r="F10">
        <v>177.1</v>
      </c>
      <c r="G10" s="3">
        <f t="shared" si="0"/>
        <v>9</v>
      </c>
      <c r="H10" s="3">
        <f t="shared" si="1"/>
        <v>1</v>
      </c>
      <c r="I10" s="3">
        <f t="shared" si="2"/>
        <v>0</v>
      </c>
      <c r="J10" s="3">
        <f t="shared" si="3"/>
        <v>17</v>
      </c>
      <c r="K10">
        <v>3.1</v>
      </c>
      <c r="L10">
        <v>10.1</v>
      </c>
      <c r="M10">
        <v>9.8000000000000007</v>
      </c>
      <c r="N10">
        <v>14.7</v>
      </c>
      <c r="O10">
        <v>5.8</v>
      </c>
      <c r="P10">
        <v>2.5</v>
      </c>
      <c r="Q10" t="s">
        <v>7</v>
      </c>
      <c r="R10">
        <v>14.7</v>
      </c>
      <c r="S10">
        <v>22.1</v>
      </c>
      <c r="T10">
        <v>12.6</v>
      </c>
      <c r="U10">
        <v>6.2</v>
      </c>
      <c r="V10">
        <v>4.5</v>
      </c>
      <c r="W10">
        <v>19.7</v>
      </c>
      <c r="X10">
        <v>12.2</v>
      </c>
      <c r="Y10">
        <v>10.4</v>
      </c>
      <c r="Z10">
        <v>8.5</v>
      </c>
      <c r="AA10">
        <v>7.3</v>
      </c>
      <c r="AB10">
        <v>12.9</v>
      </c>
    </row>
    <row r="11" spans="1:28" x14ac:dyDescent="0.25">
      <c r="A11">
        <v>10</v>
      </c>
      <c r="B11" t="s">
        <v>684</v>
      </c>
      <c r="C11" t="s">
        <v>32</v>
      </c>
      <c r="D11">
        <v>2.4</v>
      </c>
      <c r="E11">
        <v>10</v>
      </c>
      <c r="F11">
        <v>150.5</v>
      </c>
      <c r="G11" s="3">
        <f t="shared" si="0"/>
        <v>7</v>
      </c>
      <c r="H11" s="3">
        <f t="shared" si="1"/>
        <v>1</v>
      </c>
      <c r="I11" s="3">
        <f t="shared" si="2"/>
        <v>0</v>
      </c>
      <c r="J11" s="3">
        <f t="shared" si="3"/>
        <v>15</v>
      </c>
      <c r="K11">
        <v>2.4</v>
      </c>
      <c r="L11">
        <v>7.4</v>
      </c>
      <c r="M11">
        <v>1.9</v>
      </c>
      <c r="N11">
        <v>13.2</v>
      </c>
      <c r="O11">
        <v>19.5</v>
      </c>
      <c r="P11">
        <v>16.100000000000001</v>
      </c>
      <c r="Q11" t="s">
        <v>7</v>
      </c>
      <c r="R11">
        <v>2.5</v>
      </c>
      <c r="S11">
        <v>27</v>
      </c>
      <c r="T11">
        <v>11.1</v>
      </c>
      <c r="U11">
        <v>11.2</v>
      </c>
      <c r="V11">
        <v>1.2</v>
      </c>
      <c r="W11" t="s">
        <v>8</v>
      </c>
      <c r="X11" t="s">
        <v>8</v>
      </c>
      <c r="Y11">
        <v>9.8000000000000007</v>
      </c>
      <c r="Z11">
        <v>14.1</v>
      </c>
      <c r="AA11">
        <v>3.9</v>
      </c>
      <c r="AB11">
        <v>9.1999999999999993</v>
      </c>
    </row>
    <row r="12" spans="1:28" x14ac:dyDescent="0.25">
      <c r="A12">
        <v>11</v>
      </c>
      <c r="B12" t="s">
        <v>685</v>
      </c>
      <c r="C12" t="s">
        <v>22</v>
      </c>
      <c r="D12">
        <v>6.6</v>
      </c>
      <c r="E12">
        <v>9.4</v>
      </c>
      <c r="F12">
        <v>150.30000000000001</v>
      </c>
      <c r="G12" s="3">
        <f t="shared" si="0"/>
        <v>7</v>
      </c>
      <c r="H12" s="3">
        <f t="shared" si="1"/>
        <v>0</v>
      </c>
      <c r="I12" s="3">
        <f t="shared" si="2"/>
        <v>0</v>
      </c>
      <c r="J12" s="3">
        <f t="shared" si="3"/>
        <v>16</v>
      </c>
      <c r="K12">
        <v>6.6</v>
      </c>
      <c r="L12">
        <v>9.3000000000000007</v>
      </c>
      <c r="M12">
        <v>2.2999999999999998</v>
      </c>
      <c r="N12">
        <v>6.7</v>
      </c>
      <c r="O12">
        <v>3.9</v>
      </c>
      <c r="P12" t="s">
        <v>8</v>
      </c>
      <c r="Q12">
        <v>15.5</v>
      </c>
      <c r="R12">
        <v>17.5</v>
      </c>
      <c r="S12">
        <v>16.100000000000001</v>
      </c>
      <c r="T12">
        <v>16.100000000000001</v>
      </c>
      <c r="U12">
        <v>10.6</v>
      </c>
      <c r="V12">
        <v>8.8000000000000007</v>
      </c>
      <c r="W12" t="s">
        <v>7</v>
      </c>
      <c r="X12">
        <v>7.1</v>
      </c>
      <c r="Y12">
        <v>0</v>
      </c>
      <c r="Z12">
        <v>1.7</v>
      </c>
      <c r="AA12">
        <v>12.7</v>
      </c>
      <c r="AB12">
        <v>15.4</v>
      </c>
    </row>
    <row r="13" spans="1:28" x14ac:dyDescent="0.25">
      <c r="A13">
        <v>12</v>
      </c>
      <c r="B13" t="s">
        <v>686</v>
      </c>
      <c r="C13" t="s">
        <v>26</v>
      </c>
      <c r="D13">
        <v>0.4</v>
      </c>
      <c r="E13">
        <v>9</v>
      </c>
      <c r="F13">
        <v>143.5</v>
      </c>
      <c r="G13" s="3">
        <f t="shared" si="0"/>
        <v>7</v>
      </c>
      <c r="H13" s="3">
        <f t="shared" si="1"/>
        <v>2</v>
      </c>
      <c r="I13" s="3">
        <f t="shared" si="2"/>
        <v>0</v>
      </c>
      <c r="J13" s="3">
        <f t="shared" si="3"/>
        <v>16</v>
      </c>
      <c r="K13">
        <v>0.4</v>
      </c>
      <c r="L13">
        <v>8.6999999999999993</v>
      </c>
      <c r="M13">
        <v>3.1</v>
      </c>
      <c r="N13">
        <v>3.2</v>
      </c>
      <c r="O13">
        <v>3</v>
      </c>
      <c r="P13">
        <v>12.3</v>
      </c>
      <c r="Q13">
        <v>16.8</v>
      </c>
      <c r="R13">
        <v>22.5</v>
      </c>
      <c r="S13">
        <v>20.6</v>
      </c>
      <c r="T13">
        <v>4.3</v>
      </c>
      <c r="U13" t="s">
        <v>7</v>
      </c>
      <c r="V13">
        <v>8.1</v>
      </c>
      <c r="W13">
        <v>15.4</v>
      </c>
      <c r="X13" t="s">
        <v>8</v>
      </c>
      <c r="Y13">
        <v>1.5</v>
      </c>
      <c r="Z13">
        <v>0.2</v>
      </c>
      <c r="AA13">
        <v>11.5</v>
      </c>
      <c r="AB13">
        <v>11.9</v>
      </c>
    </row>
    <row r="14" spans="1:28" x14ac:dyDescent="0.25">
      <c r="A14">
        <v>13</v>
      </c>
      <c r="B14" t="s">
        <v>687</v>
      </c>
      <c r="C14" t="s">
        <v>14</v>
      </c>
      <c r="D14">
        <v>6.4</v>
      </c>
      <c r="E14">
        <v>8.1</v>
      </c>
      <c r="F14">
        <v>137.30000000000001</v>
      </c>
      <c r="G14" s="3">
        <f t="shared" si="0"/>
        <v>4</v>
      </c>
      <c r="H14" s="3">
        <f t="shared" si="1"/>
        <v>0</v>
      </c>
      <c r="I14" s="3">
        <f t="shared" si="2"/>
        <v>0</v>
      </c>
      <c r="J14" s="3">
        <f t="shared" si="3"/>
        <v>17</v>
      </c>
      <c r="K14">
        <v>6.4</v>
      </c>
      <c r="L14">
        <v>3.5</v>
      </c>
      <c r="M14">
        <v>8.6999999999999993</v>
      </c>
      <c r="N14">
        <v>4.0999999999999996</v>
      </c>
      <c r="O14">
        <v>15.7</v>
      </c>
      <c r="P14">
        <v>14.3</v>
      </c>
      <c r="Q14">
        <v>7.7</v>
      </c>
      <c r="R14">
        <v>6.5</v>
      </c>
      <c r="S14">
        <v>9.6</v>
      </c>
      <c r="T14">
        <v>6</v>
      </c>
      <c r="U14" t="s">
        <v>7</v>
      </c>
      <c r="V14">
        <v>4.2</v>
      </c>
      <c r="W14">
        <v>9.1</v>
      </c>
      <c r="X14">
        <v>14.7</v>
      </c>
      <c r="Y14">
        <v>6.7</v>
      </c>
      <c r="Z14">
        <v>13.9</v>
      </c>
      <c r="AA14">
        <v>1.5</v>
      </c>
      <c r="AB14">
        <v>4.7</v>
      </c>
    </row>
    <row r="15" spans="1:28" x14ac:dyDescent="0.25">
      <c r="A15">
        <v>14</v>
      </c>
      <c r="B15" t="s">
        <v>688</v>
      </c>
      <c r="C15" t="s">
        <v>6</v>
      </c>
      <c r="D15">
        <v>0</v>
      </c>
      <c r="E15">
        <v>9.6999999999999993</v>
      </c>
      <c r="F15">
        <v>136.30000000000001</v>
      </c>
      <c r="G15" s="3">
        <f t="shared" si="0"/>
        <v>4</v>
      </c>
      <c r="H15" s="3">
        <f t="shared" si="1"/>
        <v>1</v>
      </c>
      <c r="I15" s="3">
        <f t="shared" si="2"/>
        <v>0</v>
      </c>
      <c r="J15" s="3">
        <f t="shared" si="3"/>
        <v>14</v>
      </c>
      <c r="K15">
        <v>0</v>
      </c>
      <c r="L15">
        <v>8.1999999999999993</v>
      </c>
      <c r="M15">
        <v>9.1</v>
      </c>
      <c r="N15">
        <v>4.5</v>
      </c>
      <c r="O15">
        <v>25.7</v>
      </c>
      <c r="P15">
        <v>9.1999999999999993</v>
      </c>
      <c r="Q15">
        <v>18.7</v>
      </c>
      <c r="R15">
        <v>7.6</v>
      </c>
      <c r="S15">
        <v>8</v>
      </c>
      <c r="T15" t="s">
        <v>7</v>
      </c>
      <c r="U15" t="s">
        <v>8</v>
      </c>
      <c r="V15" t="s">
        <v>8</v>
      </c>
      <c r="W15" t="s">
        <v>8</v>
      </c>
      <c r="X15">
        <v>7</v>
      </c>
      <c r="Y15">
        <v>7.1</v>
      </c>
      <c r="Z15">
        <v>14.1</v>
      </c>
      <c r="AA15">
        <v>15.7</v>
      </c>
      <c r="AB15">
        <v>1.4</v>
      </c>
    </row>
    <row r="16" spans="1:28" x14ac:dyDescent="0.25">
      <c r="A16">
        <v>15</v>
      </c>
      <c r="B16" t="s">
        <v>689</v>
      </c>
      <c r="C16" t="s">
        <v>12</v>
      </c>
      <c r="D16" t="s">
        <v>8</v>
      </c>
      <c r="E16">
        <v>13.5</v>
      </c>
      <c r="F16">
        <v>135.4</v>
      </c>
      <c r="G16" s="3">
        <f t="shared" si="0"/>
        <v>7</v>
      </c>
      <c r="H16" s="3">
        <f t="shared" si="1"/>
        <v>2</v>
      </c>
      <c r="I16" s="3">
        <f t="shared" si="2"/>
        <v>0</v>
      </c>
      <c r="J16" s="3">
        <f t="shared" si="3"/>
        <v>10</v>
      </c>
      <c r="K16" t="s">
        <v>8</v>
      </c>
      <c r="L16">
        <v>15.5</v>
      </c>
      <c r="M16">
        <v>7.5</v>
      </c>
      <c r="N16">
        <v>25</v>
      </c>
      <c r="O16">
        <v>12.5</v>
      </c>
      <c r="P16">
        <v>10.9</v>
      </c>
      <c r="Q16">
        <v>22.3</v>
      </c>
      <c r="R16">
        <v>14</v>
      </c>
      <c r="S16">
        <v>17</v>
      </c>
      <c r="T16">
        <v>6.4</v>
      </c>
      <c r="U16">
        <v>4.3</v>
      </c>
      <c r="V16" t="s">
        <v>8</v>
      </c>
      <c r="W16" t="s">
        <v>7</v>
      </c>
      <c r="X16" t="s">
        <v>8</v>
      </c>
      <c r="Y16" t="s">
        <v>8</v>
      </c>
      <c r="Z16" t="s">
        <v>8</v>
      </c>
      <c r="AA16" t="s">
        <v>8</v>
      </c>
      <c r="AB16" t="s">
        <v>8</v>
      </c>
    </row>
    <row r="17" spans="1:32" x14ac:dyDescent="0.25">
      <c r="A17">
        <v>16</v>
      </c>
      <c r="B17" t="s">
        <v>690</v>
      </c>
      <c r="C17" t="s">
        <v>90</v>
      </c>
      <c r="D17">
        <v>8.3000000000000007</v>
      </c>
      <c r="E17">
        <v>7.9</v>
      </c>
      <c r="F17">
        <v>126.8</v>
      </c>
      <c r="G17" s="3">
        <f t="shared" si="0"/>
        <v>4</v>
      </c>
      <c r="H17" s="3">
        <f t="shared" si="1"/>
        <v>1</v>
      </c>
      <c r="I17" s="3">
        <f t="shared" si="2"/>
        <v>0</v>
      </c>
      <c r="J17" s="3">
        <f t="shared" si="3"/>
        <v>16</v>
      </c>
      <c r="K17">
        <v>8.3000000000000007</v>
      </c>
      <c r="L17">
        <v>10.199999999999999</v>
      </c>
      <c r="M17" t="s">
        <v>8</v>
      </c>
      <c r="N17">
        <v>7.3</v>
      </c>
      <c r="O17">
        <v>20.7</v>
      </c>
      <c r="P17">
        <v>1.2</v>
      </c>
      <c r="Q17">
        <v>9.1</v>
      </c>
      <c r="R17">
        <v>16.399999999999999</v>
      </c>
      <c r="S17">
        <v>7.1</v>
      </c>
      <c r="T17">
        <v>9</v>
      </c>
      <c r="U17">
        <v>8.8000000000000007</v>
      </c>
      <c r="V17">
        <v>3.5</v>
      </c>
      <c r="W17">
        <v>2</v>
      </c>
      <c r="X17" t="s">
        <v>8</v>
      </c>
      <c r="Y17">
        <v>1.7</v>
      </c>
      <c r="Z17">
        <v>14.6</v>
      </c>
      <c r="AA17">
        <v>5</v>
      </c>
      <c r="AB17">
        <v>1.9</v>
      </c>
    </row>
    <row r="18" spans="1:32" x14ac:dyDescent="0.25">
      <c r="A18">
        <v>17</v>
      </c>
      <c r="B18" t="s">
        <v>691</v>
      </c>
      <c r="C18" t="s">
        <v>78</v>
      </c>
      <c r="D18">
        <v>0</v>
      </c>
      <c r="E18">
        <v>7.3</v>
      </c>
      <c r="F18">
        <v>124.2</v>
      </c>
      <c r="G18" s="3">
        <f t="shared" si="0"/>
        <v>5</v>
      </c>
      <c r="H18" s="3">
        <f t="shared" si="1"/>
        <v>1</v>
      </c>
      <c r="I18" s="3">
        <f t="shared" si="2"/>
        <v>0</v>
      </c>
      <c r="J18" s="3">
        <f t="shared" si="3"/>
        <v>17</v>
      </c>
      <c r="K18">
        <v>0</v>
      </c>
      <c r="L18">
        <v>8.6999999999999993</v>
      </c>
      <c r="M18">
        <v>8.6999999999999993</v>
      </c>
      <c r="N18">
        <v>15.5</v>
      </c>
      <c r="O18">
        <v>10.7</v>
      </c>
      <c r="P18">
        <v>13.6</v>
      </c>
      <c r="Q18">
        <v>5.7</v>
      </c>
      <c r="R18">
        <v>2.2999999999999998</v>
      </c>
      <c r="S18">
        <v>21</v>
      </c>
      <c r="T18">
        <v>1.1000000000000001</v>
      </c>
      <c r="U18" t="s">
        <v>8</v>
      </c>
      <c r="V18">
        <v>0</v>
      </c>
      <c r="W18">
        <v>3</v>
      </c>
      <c r="X18">
        <v>6.7</v>
      </c>
      <c r="Y18">
        <v>8.1</v>
      </c>
      <c r="Z18">
        <v>7.2</v>
      </c>
      <c r="AA18">
        <v>0</v>
      </c>
      <c r="AB18">
        <v>11.9</v>
      </c>
    </row>
    <row r="19" spans="1:32" x14ac:dyDescent="0.25">
      <c r="A19">
        <v>18</v>
      </c>
      <c r="B19" t="s">
        <v>692</v>
      </c>
      <c r="C19" t="s">
        <v>45</v>
      </c>
      <c r="D19">
        <v>1.2</v>
      </c>
      <c r="E19">
        <v>7.2</v>
      </c>
      <c r="F19">
        <v>123.1</v>
      </c>
      <c r="G19" s="3">
        <f t="shared" si="0"/>
        <v>4</v>
      </c>
      <c r="H19" s="3">
        <f t="shared" si="1"/>
        <v>0</v>
      </c>
      <c r="I19" s="3">
        <f t="shared" si="2"/>
        <v>0</v>
      </c>
      <c r="J19" s="3">
        <f t="shared" si="3"/>
        <v>17</v>
      </c>
      <c r="K19">
        <v>1.2</v>
      </c>
      <c r="L19">
        <v>10</v>
      </c>
      <c r="M19">
        <v>5.6</v>
      </c>
      <c r="N19">
        <v>9.8000000000000007</v>
      </c>
      <c r="O19">
        <v>10.7</v>
      </c>
      <c r="P19">
        <v>5.4</v>
      </c>
      <c r="Q19" t="s">
        <v>8</v>
      </c>
      <c r="R19">
        <v>0</v>
      </c>
      <c r="S19">
        <v>12.6</v>
      </c>
      <c r="T19">
        <v>14</v>
      </c>
      <c r="U19">
        <v>3.8</v>
      </c>
      <c r="V19">
        <v>7.3</v>
      </c>
      <c r="W19">
        <v>6.5</v>
      </c>
      <c r="X19">
        <v>9.6999999999999993</v>
      </c>
      <c r="Y19">
        <v>5.8</v>
      </c>
      <c r="Z19">
        <v>7.6</v>
      </c>
      <c r="AA19">
        <v>9.5</v>
      </c>
      <c r="AB19">
        <v>3.6</v>
      </c>
    </row>
    <row r="20" spans="1:32" x14ac:dyDescent="0.25">
      <c r="A20">
        <v>19</v>
      </c>
      <c r="B20" t="s">
        <v>693</v>
      </c>
      <c r="C20" t="s">
        <v>57</v>
      </c>
      <c r="D20">
        <v>16.600000000000001</v>
      </c>
      <c r="E20">
        <v>8.6</v>
      </c>
      <c r="F20">
        <v>119.9</v>
      </c>
      <c r="G20" s="3">
        <f t="shared" si="0"/>
        <v>5</v>
      </c>
      <c r="H20" s="3">
        <f t="shared" si="1"/>
        <v>0</v>
      </c>
      <c r="I20" s="3">
        <f t="shared" si="2"/>
        <v>0</v>
      </c>
      <c r="J20" s="3">
        <f t="shared" si="3"/>
        <v>14</v>
      </c>
      <c r="K20">
        <v>16.600000000000001</v>
      </c>
      <c r="L20">
        <v>17.2</v>
      </c>
      <c r="M20">
        <v>3.7</v>
      </c>
      <c r="N20">
        <v>9.1</v>
      </c>
      <c r="O20">
        <v>0</v>
      </c>
      <c r="P20">
        <v>1.7</v>
      </c>
      <c r="Q20">
        <v>4.7</v>
      </c>
      <c r="R20">
        <v>5.8</v>
      </c>
      <c r="S20">
        <v>13.9</v>
      </c>
      <c r="T20">
        <v>5.0999999999999996</v>
      </c>
      <c r="U20" t="s">
        <v>7</v>
      </c>
      <c r="V20">
        <v>0</v>
      </c>
      <c r="W20">
        <v>3.5</v>
      </c>
      <c r="X20">
        <v>19</v>
      </c>
      <c r="Y20">
        <v>19.600000000000001</v>
      </c>
      <c r="Z20" t="s">
        <v>8</v>
      </c>
      <c r="AA20" t="s">
        <v>8</v>
      </c>
      <c r="AB20" t="s">
        <v>8</v>
      </c>
    </row>
    <row r="21" spans="1:32" x14ac:dyDescent="0.25">
      <c r="A21">
        <v>20</v>
      </c>
      <c r="B21" t="s">
        <v>694</v>
      </c>
      <c r="C21" t="s">
        <v>34</v>
      </c>
      <c r="D21">
        <v>3.9</v>
      </c>
      <c r="E21">
        <v>6.9</v>
      </c>
      <c r="F21">
        <v>116.5</v>
      </c>
      <c r="G21" s="3">
        <f t="shared" si="0"/>
        <v>3</v>
      </c>
      <c r="H21" s="3">
        <f t="shared" si="1"/>
        <v>1</v>
      </c>
      <c r="I21" s="3">
        <f t="shared" si="2"/>
        <v>0</v>
      </c>
      <c r="J21" s="3">
        <f t="shared" si="3"/>
        <v>17</v>
      </c>
      <c r="K21">
        <v>3.9</v>
      </c>
      <c r="L21">
        <v>10.1</v>
      </c>
      <c r="M21">
        <v>2.6</v>
      </c>
      <c r="N21">
        <v>10.3</v>
      </c>
      <c r="O21" t="s">
        <v>7</v>
      </c>
      <c r="P21">
        <v>2.5</v>
      </c>
      <c r="Q21">
        <v>9.3000000000000007</v>
      </c>
      <c r="R21">
        <v>8.6999999999999993</v>
      </c>
      <c r="S21">
        <v>23</v>
      </c>
      <c r="T21">
        <v>3</v>
      </c>
      <c r="U21">
        <v>8.9</v>
      </c>
      <c r="V21">
        <v>8.5</v>
      </c>
      <c r="W21">
        <v>0</v>
      </c>
      <c r="X21">
        <v>9.6</v>
      </c>
      <c r="Y21">
        <v>6.4</v>
      </c>
      <c r="Z21">
        <v>1.7</v>
      </c>
      <c r="AA21">
        <v>3</v>
      </c>
      <c r="AB21">
        <v>5</v>
      </c>
    </row>
    <row r="22" spans="1:32" x14ac:dyDescent="0.25">
      <c r="A22">
        <v>21</v>
      </c>
      <c r="B22" t="s">
        <v>695</v>
      </c>
      <c r="C22" t="s">
        <v>47</v>
      </c>
      <c r="D22">
        <v>0</v>
      </c>
      <c r="E22">
        <v>6.7</v>
      </c>
      <c r="F22">
        <v>113.4</v>
      </c>
      <c r="G22" s="3">
        <f t="shared" si="0"/>
        <v>1</v>
      </c>
      <c r="H22" s="3">
        <f t="shared" si="1"/>
        <v>0</v>
      </c>
      <c r="I22" s="3">
        <f t="shared" si="2"/>
        <v>0</v>
      </c>
      <c r="J22" s="3">
        <f t="shared" si="3"/>
        <v>17</v>
      </c>
      <c r="K22">
        <v>0</v>
      </c>
      <c r="L22">
        <v>7.5</v>
      </c>
      <c r="M22">
        <v>3.7</v>
      </c>
      <c r="N22">
        <v>5.9</v>
      </c>
      <c r="O22">
        <v>8.3000000000000007</v>
      </c>
      <c r="P22">
        <v>3.8</v>
      </c>
      <c r="Q22" t="s">
        <v>7</v>
      </c>
      <c r="R22">
        <v>6.7</v>
      </c>
      <c r="S22">
        <v>5.8</v>
      </c>
      <c r="T22">
        <v>5.7</v>
      </c>
      <c r="U22">
        <v>1.6</v>
      </c>
      <c r="V22">
        <v>8.5</v>
      </c>
      <c r="W22">
        <v>9.4</v>
      </c>
      <c r="X22">
        <v>9.6</v>
      </c>
      <c r="Y22">
        <v>6.6</v>
      </c>
      <c r="Z22">
        <v>18.3</v>
      </c>
      <c r="AA22">
        <v>6.4</v>
      </c>
      <c r="AB22">
        <v>5.6</v>
      </c>
    </row>
    <row r="23" spans="1:32" x14ac:dyDescent="0.25">
      <c r="A23">
        <v>22</v>
      </c>
      <c r="B23" t="s">
        <v>696</v>
      </c>
      <c r="C23" t="s">
        <v>18</v>
      </c>
      <c r="D23">
        <v>6.6</v>
      </c>
      <c r="E23">
        <v>9.4</v>
      </c>
      <c r="F23">
        <v>113.2</v>
      </c>
      <c r="G23" s="3">
        <f t="shared" si="0"/>
        <v>4</v>
      </c>
      <c r="H23" s="3">
        <f t="shared" si="1"/>
        <v>1</v>
      </c>
      <c r="I23" s="3">
        <f t="shared" si="2"/>
        <v>0</v>
      </c>
      <c r="J23" s="3">
        <f t="shared" si="3"/>
        <v>12</v>
      </c>
      <c r="K23">
        <v>6.6</v>
      </c>
      <c r="L23">
        <v>13.6</v>
      </c>
      <c r="M23">
        <v>5</v>
      </c>
      <c r="N23">
        <v>5.0999999999999996</v>
      </c>
      <c r="O23">
        <v>16.600000000000001</v>
      </c>
      <c r="P23">
        <v>9.3000000000000007</v>
      </c>
      <c r="Q23">
        <v>22.8</v>
      </c>
      <c r="R23">
        <v>1.4</v>
      </c>
      <c r="S23" t="s">
        <v>8</v>
      </c>
      <c r="T23" t="s">
        <v>7</v>
      </c>
      <c r="U23" t="s">
        <v>8</v>
      </c>
      <c r="V23" t="s">
        <v>8</v>
      </c>
      <c r="W23" t="s">
        <v>8</v>
      </c>
      <c r="X23" t="s">
        <v>8</v>
      </c>
      <c r="Y23">
        <v>8</v>
      </c>
      <c r="Z23">
        <v>5.2</v>
      </c>
      <c r="AA23">
        <v>10.1</v>
      </c>
      <c r="AB23">
        <v>9.5</v>
      </c>
    </row>
    <row r="24" spans="1:32" x14ac:dyDescent="0.25">
      <c r="A24">
        <v>23</v>
      </c>
      <c r="B24" t="s">
        <v>697</v>
      </c>
      <c r="C24" t="s">
        <v>90</v>
      </c>
      <c r="D24">
        <v>4.3</v>
      </c>
      <c r="E24">
        <v>7.4</v>
      </c>
      <c r="F24">
        <v>111.1</v>
      </c>
      <c r="G24" s="3">
        <f t="shared" si="0"/>
        <v>4</v>
      </c>
      <c r="H24" s="3">
        <f t="shared" si="1"/>
        <v>0</v>
      </c>
      <c r="I24" s="3">
        <f t="shared" si="2"/>
        <v>0</v>
      </c>
      <c r="J24" s="3">
        <f t="shared" si="3"/>
        <v>15</v>
      </c>
      <c r="K24">
        <v>4.3</v>
      </c>
      <c r="L24">
        <v>7.7</v>
      </c>
      <c r="M24">
        <v>9</v>
      </c>
      <c r="N24">
        <v>2.9</v>
      </c>
      <c r="O24" t="s">
        <v>8</v>
      </c>
      <c r="P24">
        <v>10.8</v>
      </c>
      <c r="Q24">
        <v>11.6</v>
      </c>
      <c r="R24" t="s">
        <v>8</v>
      </c>
      <c r="S24">
        <v>3.8</v>
      </c>
      <c r="T24">
        <v>0</v>
      </c>
      <c r="U24" t="s">
        <v>8</v>
      </c>
      <c r="V24">
        <v>14.3</v>
      </c>
      <c r="W24">
        <v>8.4</v>
      </c>
      <c r="X24">
        <v>8.9</v>
      </c>
      <c r="Y24">
        <v>9.1</v>
      </c>
      <c r="Z24">
        <v>11.2</v>
      </c>
      <c r="AA24">
        <v>7.7</v>
      </c>
      <c r="AB24">
        <v>1.4</v>
      </c>
    </row>
    <row r="25" spans="1:32" x14ac:dyDescent="0.25">
      <c r="A25">
        <v>24</v>
      </c>
      <c r="B25" t="s">
        <v>698</v>
      </c>
      <c r="C25" t="s">
        <v>20</v>
      </c>
      <c r="D25">
        <v>7.9</v>
      </c>
      <c r="E25">
        <v>7.2</v>
      </c>
      <c r="F25">
        <v>108.5</v>
      </c>
      <c r="G25" s="3">
        <f t="shared" si="0"/>
        <v>4</v>
      </c>
      <c r="H25" s="3">
        <f t="shared" si="1"/>
        <v>0</v>
      </c>
      <c r="I25" s="3">
        <f t="shared" si="2"/>
        <v>0</v>
      </c>
      <c r="J25" s="3">
        <f t="shared" si="3"/>
        <v>15</v>
      </c>
      <c r="K25">
        <v>7.9</v>
      </c>
      <c r="L25">
        <v>4.2</v>
      </c>
      <c r="M25">
        <v>12.1</v>
      </c>
      <c r="N25">
        <v>11.4</v>
      </c>
      <c r="O25">
        <v>4</v>
      </c>
      <c r="P25">
        <v>3.8</v>
      </c>
      <c r="Q25">
        <v>1.7</v>
      </c>
      <c r="R25">
        <v>9.5</v>
      </c>
      <c r="S25">
        <v>0</v>
      </c>
      <c r="T25" t="s">
        <v>7</v>
      </c>
      <c r="U25">
        <v>2.7</v>
      </c>
      <c r="V25">
        <v>19.899999999999999</v>
      </c>
      <c r="W25">
        <v>5.5</v>
      </c>
      <c r="X25" t="s">
        <v>8</v>
      </c>
      <c r="Y25">
        <v>7.6</v>
      </c>
      <c r="Z25">
        <v>6</v>
      </c>
      <c r="AA25">
        <v>12.2</v>
      </c>
      <c r="AB25" t="s">
        <v>8</v>
      </c>
    </row>
    <row r="26" spans="1:32" x14ac:dyDescent="0.25">
      <c r="A26">
        <v>25</v>
      </c>
      <c r="B26" t="s">
        <v>699</v>
      </c>
      <c r="C26" t="s">
        <v>12</v>
      </c>
      <c r="D26">
        <v>1.4</v>
      </c>
      <c r="E26">
        <v>5.9</v>
      </c>
      <c r="F26">
        <v>101.1</v>
      </c>
      <c r="G26" s="3">
        <f t="shared" si="0"/>
        <v>4</v>
      </c>
      <c r="H26" s="3">
        <f t="shared" si="1"/>
        <v>0</v>
      </c>
      <c r="I26" s="3">
        <f t="shared" si="2"/>
        <v>0</v>
      </c>
      <c r="J26" s="3">
        <f t="shared" si="3"/>
        <v>17</v>
      </c>
      <c r="K26">
        <v>1.4</v>
      </c>
      <c r="L26">
        <v>1.8</v>
      </c>
      <c r="M26">
        <v>3</v>
      </c>
      <c r="N26">
        <v>0</v>
      </c>
      <c r="O26">
        <v>0</v>
      </c>
      <c r="P26">
        <v>0</v>
      </c>
      <c r="Q26">
        <v>0</v>
      </c>
      <c r="R26">
        <v>2</v>
      </c>
      <c r="S26">
        <v>8.1999999999999993</v>
      </c>
      <c r="T26">
        <v>1.5</v>
      </c>
      <c r="U26">
        <v>0</v>
      </c>
      <c r="V26">
        <v>8</v>
      </c>
      <c r="W26" t="s">
        <v>7</v>
      </c>
      <c r="X26">
        <v>19.3</v>
      </c>
      <c r="Y26">
        <v>18</v>
      </c>
      <c r="Z26">
        <v>8.6</v>
      </c>
      <c r="AA26">
        <v>18.2</v>
      </c>
      <c r="AB26">
        <v>11.1</v>
      </c>
    </row>
    <row r="27" spans="1:32" x14ac:dyDescent="0.25">
      <c r="A27">
        <v>26</v>
      </c>
      <c r="B27" t="s">
        <v>700</v>
      </c>
      <c r="C27" t="s">
        <v>26</v>
      </c>
      <c r="D27">
        <v>6.6</v>
      </c>
      <c r="E27">
        <v>7.5</v>
      </c>
      <c r="F27">
        <v>97.8</v>
      </c>
      <c r="G27" s="3">
        <f t="shared" si="0"/>
        <v>4</v>
      </c>
      <c r="H27" s="3">
        <f t="shared" si="1"/>
        <v>1</v>
      </c>
      <c r="I27" s="3">
        <f t="shared" si="2"/>
        <v>0</v>
      </c>
      <c r="J27" s="3">
        <f t="shared" si="3"/>
        <v>13</v>
      </c>
      <c r="K27">
        <v>6.6</v>
      </c>
      <c r="L27">
        <v>3.3</v>
      </c>
      <c r="M27">
        <v>3.2</v>
      </c>
      <c r="N27" t="s">
        <v>8</v>
      </c>
      <c r="O27" t="s">
        <v>8</v>
      </c>
      <c r="P27" t="s">
        <v>8</v>
      </c>
      <c r="Q27" t="s">
        <v>8</v>
      </c>
      <c r="R27">
        <v>1.5</v>
      </c>
      <c r="S27">
        <v>13.9</v>
      </c>
      <c r="T27">
        <v>1.2</v>
      </c>
      <c r="U27" t="s">
        <v>7</v>
      </c>
      <c r="V27">
        <v>8.5</v>
      </c>
      <c r="W27">
        <v>0</v>
      </c>
      <c r="X27">
        <v>3</v>
      </c>
      <c r="Y27">
        <v>11.8</v>
      </c>
      <c r="Z27">
        <v>14.8</v>
      </c>
      <c r="AA27">
        <v>23</v>
      </c>
      <c r="AB27">
        <v>7</v>
      </c>
    </row>
    <row r="28" spans="1:32" x14ac:dyDescent="0.25">
      <c r="A28">
        <v>27</v>
      </c>
      <c r="B28" t="s">
        <v>701</v>
      </c>
      <c r="C28" t="s">
        <v>30</v>
      </c>
      <c r="D28" t="s">
        <v>8</v>
      </c>
      <c r="E28">
        <v>6.7</v>
      </c>
      <c r="F28">
        <v>80.2</v>
      </c>
      <c r="G28" s="3">
        <f t="shared" si="0"/>
        <v>1</v>
      </c>
      <c r="H28" s="3">
        <f t="shared" si="1"/>
        <v>0</v>
      </c>
      <c r="I28" s="3">
        <f t="shared" si="2"/>
        <v>0</v>
      </c>
      <c r="J28" s="3">
        <f t="shared" si="3"/>
        <v>12</v>
      </c>
      <c r="K28" t="s">
        <v>8</v>
      </c>
      <c r="L28" t="s">
        <v>8</v>
      </c>
      <c r="M28">
        <v>5</v>
      </c>
      <c r="N28">
        <v>3.8</v>
      </c>
      <c r="O28" t="s">
        <v>8</v>
      </c>
      <c r="P28" t="s">
        <v>8</v>
      </c>
      <c r="Q28" t="s">
        <v>7</v>
      </c>
      <c r="R28" t="s">
        <v>8</v>
      </c>
      <c r="S28">
        <v>8.5</v>
      </c>
      <c r="T28">
        <v>9.3000000000000007</v>
      </c>
      <c r="U28">
        <v>8.9</v>
      </c>
      <c r="V28">
        <v>5.8</v>
      </c>
      <c r="W28">
        <v>7.5</v>
      </c>
      <c r="X28">
        <v>10.1</v>
      </c>
      <c r="Y28">
        <v>9.9</v>
      </c>
      <c r="Z28">
        <v>1.5</v>
      </c>
      <c r="AA28">
        <v>6.8</v>
      </c>
      <c r="AB28">
        <v>3.1</v>
      </c>
    </row>
    <row r="29" spans="1:32" x14ac:dyDescent="0.25">
      <c r="A29">
        <v>28</v>
      </c>
      <c r="B29" t="s">
        <v>702</v>
      </c>
      <c r="C29" t="s">
        <v>78</v>
      </c>
      <c r="D29">
        <v>11.2</v>
      </c>
      <c r="E29">
        <v>5.7</v>
      </c>
      <c r="F29">
        <v>79.5</v>
      </c>
      <c r="G29" s="3">
        <f t="shared" si="0"/>
        <v>4</v>
      </c>
      <c r="H29" s="3">
        <f t="shared" si="1"/>
        <v>0</v>
      </c>
      <c r="I29" s="3">
        <f t="shared" si="2"/>
        <v>0</v>
      </c>
      <c r="J29" s="3">
        <f t="shared" si="3"/>
        <v>14</v>
      </c>
      <c r="K29">
        <v>11.2</v>
      </c>
      <c r="L29">
        <v>1.7</v>
      </c>
      <c r="M29">
        <v>14.4</v>
      </c>
      <c r="N29">
        <v>0</v>
      </c>
      <c r="O29" t="s">
        <v>8</v>
      </c>
      <c r="P29">
        <v>3.9</v>
      </c>
      <c r="Q29">
        <v>1.9</v>
      </c>
      <c r="R29">
        <v>14.3</v>
      </c>
      <c r="S29">
        <v>0</v>
      </c>
      <c r="T29">
        <v>3.8</v>
      </c>
      <c r="U29">
        <v>9.6999999999999993</v>
      </c>
      <c r="V29">
        <v>0</v>
      </c>
      <c r="W29">
        <v>3.2</v>
      </c>
      <c r="X29">
        <v>2.1</v>
      </c>
      <c r="Y29" t="s">
        <v>8</v>
      </c>
      <c r="Z29" t="s">
        <v>8</v>
      </c>
      <c r="AA29" t="s">
        <v>8</v>
      </c>
      <c r="AB29">
        <v>13.3</v>
      </c>
    </row>
    <row r="30" spans="1:32" x14ac:dyDescent="0.25">
      <c r="A30">
        <v>29</v>
      </c>
      <c r="B30" t="s">
        <v>703</v>
      </c>
      <c r="C30" t="s">
        <v>16</v>
      </c>
      <c r="D30">
        <v>0</v>
      </c>
      <c r="E30">
        <v>4.5999999999999996</v>
      </c>
      <c r="F30">
        <v>78.5</v>
      </c>
      <c r="G30" s="3">
        <f t="shared" si="0"/>
        <v>4</v>
      </c>
      <c r="H30" s="3">
        <f t="shared" si="1"/>
        <v>0</v>
      </c>
      <c r="I30" s="3">
        <f t="shared" si="2"/>
        <v>0</v>
      </c>
      <c r="J30" s="3">
        <f t="shared" si="3"/>
        <v>17</v>
      </c>
      <c r="K30">
        <v>0</v>
      </c>
      <c r="L30">
        <v>0</v>
      </c>
      <c r="M30">
        <v>0</v>
      </c>
      <c r="N30">
        <v>2.5</v>
      </c>
      <c r="O30">
        <v>0</v>
      </c>
      <c r="P30" t="s">
        <v>7</v>
      </c>
      <c r="Q30">
        <v>0</v>
      </c>
      <c r="R30">
        <v>0</v>
      </c>
      <c r="S30">
        <v>0</v>
      </c>
      <c r="T30">
        <v>1.6</v>
      </c>
      <c r="U30">
        <v>5.2</v>
      </c>
      <c r="V30">
        <v>9.5</v>
      </c>
      <c r="W30">
        <v>6.7</v>
      </c>
      <c r="X30">
        <v>10.4</v>
      </c>
      <c r="Y30">
        <v>15.7</v>
      </c>
      <c r="Z30">
        <v>10</v>
      </c>
      <c r="AA30">
        <v>10.8</v>
      </c>
      <c r="AB30">
        <v>6.1</v>
      </c>
    </row>
    <row r="31" spans="1:32" x14ac:dyDescent="0.25">
      <c r="A31">
        <v>30</v>
      </c>
      <c r="B31" t="s">
        <v>704</v>
      </c>
      <c r="C31" t="s">
        <v>78</v>
      </c>
      <c r="D31">
        <v>7.3</v>
      </c>
      <c r="E31">
        <v>6.4</v>
      </c>
      <c r="F31">
        <v>76.8</v>
      </c>
      <c r="G31" s="3">
        <f t="shared" si="0"/>
        <v>2</v>
      </c>
      <c r="H31" s="3">
        <f t="shared" si="1"/>
        <v>1</v>
      </c>
      <c r="I31" s="3">
        <f t="shared" si="2"/>
        <v>0</v>
      </c>
      <c r="J31" s="3">
        <f t="shared" si="3"/>
        <v>12</v>
      </c>
      <c r="K31">
        <v>7.3</v>
      </c>
      <c r="L31">
        <v>1.2</v>
      </c>
      <c r="M31">
        <v>13.1</v>
      </c>
      <c r="N31">
        <v>3.7</v>
      </c>
      <c r="O31" t="s">
        <v>8</v>
      </c>
      <c r="P31" t="s">
        <v>7</v>
      </c>
      <c r="Q31" t="s">
        <v>8</v>
      </c>
      <c r="R31" t="s">
        <v>8</v>
      </c>
      <c r="S31" t="s">
        <v>8</v>
      </c>
      <c r="T31" t="s">
        <v>8</v>
      </c>
      <c r="U31">
        <v>1.7</v>
      </c>
      <c r="V31">
        <v>21</v>
      </c>
      <c r="W31">
        <v>5.9</v>
      </c>
      <c r="X31">
        <v>6.8</v>
      </c>
      <c r="Y31">
        <v>4.5999999999999996</v>
      </c>
      <c r="Z31">
        <v>0</v>
      </c>
      <c r="AA31">
        <v>7.4</v>
      </c>
      <c r="AB31">
        <v>4.0999999999999996</v>
      </c>
      <c r="AF31" s="3">
        <f>MEDIAN(K13:AB103)</f>
        <v>1.85</v>
      </c>
    </row>
    <row r="32" spans="1:32" x14ac:dyDescent="0.25">
      <c r="A32">
        <v>31</v>
      </c>
      <c r="B32" t="s">
        <v>705</v>
      </c>
      <c r="C32" t="s">
        <v>16</v>
      </c>
      <c r="D32">
        <v>8</v>
      </c>
      <c r="E32">
        <v>6.8</v>
      </c>
      <c r="F32">
        <v>75.2</v>
      </c>
      <c r="G32" s="3">
        <f t="shared" si="0"/>
        <v>2</v>
      </c>
      <c r="H32" s="3">
        <f t="shared" si="1"/>
        <v>0</v>
      </c>
      <c r="I32" s="3">
        <f t="shared" si="2"/>
        <v>0</v>
      </c>
      <c r="J32" s="3">
        <f t="shared" si="3"/>
        <v>11</v>
      </c>
      <c r="K32">
        <v>8</v>
      </c>
      <c r="L32">
        <v>4.5</v>
      </c>
      <c r="M32">
        <v>10.9</v>
      </c>
      <c r="N32">
        <v>1.1000000000000001</v>
      </c>
      <c r="O32">
        <v>9.4</v>
      </c>
      <c r="P32" t="s">
        <v>7</v>
      </c>
      <c r="Q32">
        <v>7</v>
      </c>
      <c r="R32">
        <v>2.9</v>
      </c>
      <c r="S32">
        <v>14.1</v>
      </c>
      <c r="T32">
        <v>8.4</v>
      </c>
      <c r="U32">
        <v>6.8</v>
      </c>
      <c r="V32" t="s">
        <v>8</v>
      </c>
      <c r="W32" t="s">
        <v>8</v>
      </c>
      <c r="X32" t="s">
        <v>8</v>
      </c>
      <c r="Y32" t="s">
        <v>8</v>
      </c>
      <c r="Z32" t="s">
        <v>8</v>
      </c>
      <c r="AA32" t="s">
        <v>8</v>
      </c>
      <c r="AB32">
        <v>2.1</v>
      </c>
    </row>
    <row r="33" spans="1:31" x14ac:dyDescent="0.25">
      <c r="A33">
        <v>32</v>
      </c>
      <c r="B33" t="s">
        <v>706</v>
      </c>
      <c r="C33" t="s">
        <v>30</v>
      </c>
      <c r="D33">
        <v>0</v>
      </c>
      <c r="E33">
        <v>4.3</v>
      </c>
      <c r="F33">
        <v>73.400000000000006</v>
      </c>
      <c r="G33" s="3">
        <f t="shared" si="0"/>
        <v>1</v>
      </c>
      <c r="H33" s="3">
        <f t="shared" si="1"/>
        <v>0</v>
      </c>
      <c r="I33" s="3">
        <f t="shared" si="2"/>
        <v>0</v>
      </c>
      <c r="J33" s="3">
        <f t="shared" si="3"/>
        <v>17</v>
      </c>
      <c r="K33">
        <v>0</v>
      </c>
      <c r="L33">
        <v>9.6</v>
      </c>
      <c r="M33">
        <v>8.1</v>
      </c>
      <c r="N33">
        <v>8.3000000000000007</v>
      </c>
      <c r="O33" t="s">
        <v>8</v>
      </c>
      <c r="P33">
        <v>1.9</v>
      </c>
      <c r="Q33">
        <v>3.5</v>
      </c>
      <c r="R33">
        <v>5.2</v>
      </c>
      <c r="S33">
        <v>0</v>
      </c>
      <c r="T33">
        <v>2.6</v>
      </c>
      <c r="U33">
        <v>1.4</v>
      </c>
      <c r="V33">
        <v>4.5</v>
      </c>
      <c r="W33">
        <v>7.3</v>
      </c>
      <c r="X33">
        <v>5.5</v>
      </c>
      <c r="Y33">
        <v>4.5999999999999996</v>
      </c>
      <c r="Z33">
        <v>0</v>
      </c>
      <c r="AA33">
        <v>10.9</v>
      </c>
      <c r="AB33">
        <v>0</v>
      </c>
    </row>
    <row r="34" spans="1:31" x14ac:dyDescent="0.25">
      <c r="A34">
        <v>33</v>
      </c>
      <c r="B34" t="s">
        <v>707</v>
      </c>
      <c r="C34" t="s">
        <v>6</v>
      </c>
      <c r="D34">
        <v>7.9</v>
      </c>
      <c r="E34">
        <v>4.9000000000000004</v>
      </c>
      <c r="F34">
        <v>73</v>
      </c>
      <c r="G34" s="3">
        <f t="shared" si="0"/>
        <v>3</v>
      </c>
      <c r="H34" s="3">
        <f t="shared" si="1"/>
        <v>0</v>
      </c>
      <c r="I34" s="3">
        <f t="shared" si="2"/>
        <v>0</v>
      </c>
      <c r="J34" s="3">
        <f t="shared" si="3"/>
        <v>15</v>
      </c>
      <c r="K34">
        <v>7.9</v>
      </c>
      <c r="L34">
        <v>10.6</v>
      </c>
      <c r="M34">
        <v>2.9</v>
      </c>
      <c r="N34">
        <v>4.4000000000000004</v>
      </c>
      <c r="O34">
        <v>3.5</v>
      </c>
      <c r="P34">
        <v>9.6999999999999993</v>
      </c>
      <c r="Q34" t="s">
        <v>8</v>
      </c>
      <c r="R34" t="s">
        <v>8</v>
      </c>
      <c r="S34">
        <v>0</v>
      </c>
      <c r="T34">
        <v>1.5</v>
      </c>
      <c r="U34" t="s">
        <v>8</v>
      </c>
      <c r="V34">
        <v>0</v>
      </c>
      <c r="W34">
        <v>10.4</v>
      </c>
      <c r="X34">
        <v>3.7</v>
      </c>
      <c r="Y34">
        <v>1.6</v>
      </c>
      <c r="Z34">
        <v>11.2</v>
      </c>
      <c r="AA34">
        <v>2.2999999999999998</v>
      </c>
      <c r="AB34">
        <v>3.3</v>
      </c>
    </row>
    <row r="35" spans="1:31" x14ac:dyDescent="0.25">
      <c r="A35">
        <v>34</v>
      </c>
      <c r="B35" t="s">
        <v>708</v>
      </c>
      <c r="C35" t="s">
        <v>43</v>
      </c>
      <c r="D35">
        <v>7.4</v>
      </c>
      <c r="E35">
        <v>4.5</v>
      </c>
      <c r="F35">
        <v>71.599999999999994</v>
      </c>
      <c r="G35" s="3">
        <f t="shared" si="0"/>
        <v>1</v>
      </c>
      <c r="H35" s="3">
        <f t="shared" si="1"/>
        <v>0</v>
      </c>
      <c r="I35" s="3">
        <f t="shared" si="2"/>
        <v>0</v>
      </c>
      <c r="J35" s="3">
        <f t="shared" si="3"/>
        <v>16</v>
      </c>
      <c r="K35">
        <v>7.4</v>
      </c>
      <c r="L35">
        <v>5.3</v>
      </c>
      <c r="M35">
        <v>2.5</v>
      </c>
      <c r="N35">
        <v>8.1</v>
      </c>
      <c r="O35">
        <v>0</v>
      </c>
      <c r="P35">
        <v>0</v>
      </c>
      <c r="Q35">
        <v>0</v>
      </c>
      <c r="R35">
        <v>5.8</v>
      </c>
      <c r="S35">
        <v>4.7</v>
      </c>
      <c r="T35" t="s">
        <v>8</v>
      </c>
      <c r="U35" t="s">
        <v>8</v>
      </c>
      <c r="V35">
        <v>2</v>
      </c>
      <c r="W35">
        <v>0</v>
      </c>
      <c r="X35">
        <v>3.6</v>
      </c>
      <c r="Y35">
        <v>7.2</v>
      </c>
      <c r="Z35">
        <v>10.6</v>
      </c>
      <c r="AA35">
        <v>8.4</v>
      </c>
      <c r="AB35">
        <v>6</v>
      </c>
    </row>
    <row r="36" spans="1:31" x14ac:dyDescent="0.25">
      <c r="A36">
        <v>35</v>
      </c>
      <c r="B36" t="s">
        <v>709</v>
      </c>
      <c r="C36" t="s">
        <v>97</v>
      </c>
      <c r="D36">
        <v>0</v>
      </c>
      <c r="E36">
        <v>5.0999999999999996</v>
      </c>
      <c r="F36">
        <v>71.400000000000006</v>
      </c>
      <c r="G36" s="3">
        <f t="shared" si="0"/>
        <v>3</v>
      </c>
      <c r="H36" s="3">
        <f t="shared" si="1"/>
        <v>0</v>
      </c>
      <c r="I36" s="3">
        <f t="shared" si="2"/>
        <v>0</v>
      </c>
      <c r="J36" s="3">
        <f t="shared" si="3"/>
        <v>14</v>
      </c>
      <c r="K36">
        <v>0</v>
      </c>
      <c r="L36">
        <v>1.2</v>
      </c>
      <c r="M36">
        <v>2</v>
      </c>
      <c r="N36">
        <v>0</v>
      </c>
      <c r="O36">
        <v>5.9</v>
      </c>
      <c r="P36">
        <v>12.5</v>
      </c>
      <c r="Q36">
        <v>3.3</v>
      </c>
      <c r="R36">
        <v>2.9</v>
      </c>
      <c r="S36">
        <v>3.1</v>
      </c>
      <c r="T36">
        <v>10.9</v>
      </c>
      <c r="U36">
        <v>8.6</v>
      </c>
      <c r="V36">
        <v>4.7</v>
      </c>
      <c r="W36" t="s">
        <v>7</v>
      </c>
      <c r="X36">
        <v>2.4</v>
      </c>
      <c r="Y36">
        <v>13.9</v>
      </c>
      <c r="Z36" t="s">
        <v>8</v>
      </c>
      <c r="AA36" t="s">
        <v>8</v>
      </c>
      <c r="AB36" t="s">
        <v>8</v>
      </c>
    </row>
    <row r="37" spans="1:31" x14ac:dyDescent="0.25">
      <c r="A37">
        <v>36</v>
      </c>
      <c r="B37" t="s">
        <v>710</v>
      </c>
      <c r="C37" t="s">
        <v>62</v>
      </c>
      <c r="D37">
        <v>6.1</v>
      </c>
      <c r="E37">
        <v>4.2</v>
      </c>
      <c r="F37">
        <v>70.599999999999994</v>
      </c>
      <c r="G37" s="3">
        <f t="shared" si="0"/>
        <v>1</v>
      </c>
      <c r="H37" s="3">
        <f t="shared" si="1"/>
        <v>0</v>
      </c>
      <c r="I37" s="3">
        <f t="shared" si="2"/>
        <v>0</v>
      </c>
      <c r="J37" s="3">
        <f t="shared" si="3"/>
        <v>17</v>
      </c>
      <c r="K37">
        <v>6.1</v>
      </c>
      <c r="L37">
        <v>6.8</v>
      </c>
      <c r="M37">
        <v>1.9</v>
      </c>
      <c r="N37">
        <v>10.4</v>
      </c>
      <c r="O37">
        <v>4.0999999999999996</v>
      </c>
      <c r="P37">
        <v>3.5</v>
      </c>
      <c r="Q37">
        <v>1.8</v>
      </c>
      <c r="R37">
        <v>4.5</v>
      </c>
      <c r="S37">
        <v>6.4</v>
      </c>
      <c r="T37" t="s">
        <v>7</v>
      </c>
      <c r="U37">
        <v>0</v>
      </c>
      <c r="V37">
        <v>6</v>
      </c>
      <c r="W37">
        <v>7.2</v>
      </c>
      <c r="X37">
        <v>0</v>
      </c>
      <c r="Y37">
        <v>5.7</v>
      </c>
      <c r="Z37">
        <v>1.5</v>
      </c>
      <c r="AA37">
        <v>4.7</v>
      </c>
      <c r="AB37">
        <v>0</v>
      </c>
    </row>
    <row r="38" spans="1:31" x14ac:dyDescent="0.25">
      <c r="A38">
        <v>37</v>
      </c>
      <c r="B38" t="s">
        <v>711</v>
      </c>
      <c r="C38" t="s">
        <v>30</v>
      </c>
      <c r="D38">
        <v>6.6</v>
      </c>
      <c r="E38">
        <v>3.8</v>
      </c>
      <c r="F38">
        <v>65.400000000000006</v>
      </c>
      <c r="G38" s="3">
        <f t="shared" si="0"/>
        <v>0</v>
      </c>
      <c r="H38" s="3">
        <f t="shared" si="1"/>
        <v>0</v>
      </c>
      <c r="I38" s="3">
        <f t="shared" si="2"/>
        <v>0</v>
      </c>
      <c r="J38" s="3">
        <f t="shared" si="3"/>
        <v>17</v>
      </c>
      <c r="K38">
        <v>6.6</v>
      </c>
      <c r="L38">
        <v>8.3000000000000007</v>
      </c>
      <c r="M38">
        <v>2.8</v>
      </c>
      <c r="N38">
        <v>2.2000000000000002</v>
      </c>
      <c r="O38">
        <v>3.7</v>
      </c>
      <c r="P38">
        <v>5.8</v>
      </c>
      <c r="Q38">
        <v>8.5</v>
      </c>
      <c r="R38">
        <v>3.1</v>
      </c>
      <c r="S38">
        <v>0</v>
      </c>
      <c r="T38">
        <v>4.2</v>
      </c>
      <c r="U38" t="s">
        <v>8</v>
      </c>
      <c r="V38">
        <v>0</v>
      </c>
      <c r="W38">
        <v>0</v>
      </c>
      <c r="X38">
        <v>0</v>
      </c>
      <c r="Y38">
        <v>1.7</v>
      </c>
      <c r="Z38">
        <v>9.5</v>
      </c>
      <c r="AA38">
        <v>7.5</v>
      </c>
      <c r="AB38">
        <v>1.5</v>
      </c>
    </row>
    <row r="39" spans="1:31" x14ac:dyDescent="0.25">
      <c r="A39">
        <v>38</v>
      </c>
      <c r="B39" t="s">
        <v>712</v>
      </c>
      <c r="C39" t="s">
        <v>20</v>
      </c>
      <c r="D39">
        <v>1.8</v>
      </c>
      <c r="E39">
        <v>3.6</v>
      </c>
      <c r="F39">
        <v>61.7</v>
      </c>
      <c r="G39" s="3">
        <f t="shared" si="0"/>
        <v>2</v>
      </c>
      <c r="H39" s="3">
        <f t="shared" si="1"/>
        <v>0</v>
      </c>
      <c r="I39" s="3">
        <f t="shared" si="2"/>
        <v>0</v>
      </c>
      <c r="J39" s="3">
        <f t="shared" si="3"/>
        <v>17</v>
      </c>
      <c r="K39">
        <v>1.8</v>
      </c>
      <c r="L39">
        <v>6.1</v>
      </c>
      <c r="M39">
        <v>6.8</v>
      </c>
      <c r="N39">
        <v>0</v>
      </c>
      <c r="O39" t="s">
        <v>8</v>
      </c>
      <c r="P39">
        <v>4.9000000000000004</v>
      </c>
      <c r="Q39">
        <v>4.5999999999999996</v>
      </c>
      <c r="R39">
        <v>0</v>
      </c>
      <c r="S39">
        <v>1.6</v>
      </c>
      <c r="T39">
        <v>1.3</v>
      </c>
      <c r="U39">
        <v>0</v>
      </c>
      <c r="V39">
        <v>1.9</v>
      </c>
      <c r="W39">
        <v>0</v>
      </c>
      <c r="X39">
        <v>10.8</v>
      </c>
      <c r="Y39">
        <v>1.6</v>
      </c>
      <c r="Z39">
        <v>10.7</v>
      </c>
      <c r="AA39">
        <v>5.8</v>
      </c>
      <c r="AB39">
        <v>3.8</v>
      </c>
    </row>
    <row r="40" spans="1:31" x14ac:dyDescent="0.25">
      <c r="A40">
        <v>39</v>
      </c>
      <c r="B40" t="s">
        <v>713</v>
      </c>
      <c r="C40" t="s">
        <v>36</v>
      </c>
      <c r="D40">
        <v>0</v>
      </c>
      <c r="E40">
        <v>3.8</v>
      </c>
      <c r="F40">
        <v>60.4</v>
      </c>
      <c r="G40" s="3">
        <f t="shared" si="0"/>
        <v>0</v>
      </c>
      <c r="H40" s="3">
        <f t="shared" si="1"/>
        <v>0</v>
      </c>
      <c r="I40" s="3">
        <f t="shared" si="2"/>
        <v>0</v>
      </c>
      <c r="J40" s="3">
        <f t="shared" si="3"/>
        <v>16</v>
      </c>
      <c r="K40">
        <v>0</v>
      </c>
      <c r="L40">
        <v>0</v>
      </c>
      <c r="M40">
        <v>2.5</v>
      </c>
      <c r="N40">
        <v>0</v>
      </c>
      <c r="O40">
        <v>7.1</v>
      </c>
      <c r="P40">
        <v>4.5</v>
      </c>
      <c r="Q40" t="s">
        <v>7</v>
      </c>
      <c r="R40">
        <v>8.4</v>
      </c>
      <c r="S40">
        <v>3.2</v>
      </c>
      <c r="T40">
        <v>4.5999999999999996</v>
      </c>
      <c r="U40">
        <v>7.4</v>
      </c>
      <c r="V40">
        <v>1.7</v>
      </c>
      <c r="W40" t="s">
        <v>8</v>
      </c>
      <c r="X40">
        <v>1.2</v>
      </c>
      <c r="Y40">
        <v>5.2</v>
      </c>
      <c r="Z40">
        <v>9.9</v>
      </c>
      <c r="AA40">
        <v>1.6</v>
      </c>
      <c r="AB40">
        <v>3.1</v>
      </c>
      <c r="AE40" s="3">
        <f>MEDIAN(K5:AB43)</f>
        <v>6.4</v>
      </c>
    </row>
    <row r="41" spans="1:31" x14ac:dyDescent="0.25">
      <c r="A41">
        <v>40</v>
      </c>
      <c r="B41" t="s">
        <v>714</v>
      </c>
      <c r="C41" t="s">
        <v>50</v>
      </c>
      <c r="D41">
        <v>8.4</v>
      </c>
      <c r="E41">
        <v>3.6</v>
      </c>
      <c r="F41">
        <v>60.4</v>
      </c>
      <c r="G41" s="3">
        <f t="shared" si="0"/>
        <v>1</v>
      </c>
      <c r="H41" s="3">
        <f t="shared" si="1"/>
        <v>0</v>
      </c>
      <c r="I41" s="3">
        <f t="shared" si="2"/>
        <v>0</v>
      </c>
      <c r="J41" s="3">
        <f t="shared" si="3"/>
        <v>17</v>
      </c>
      <c r="K41">
        <v>8.4</v>
      </c>
      <c r="L41">
        <v>0</v>
      </c>
      <c r="M41">
        <v>0</v>
      </c>
      <c r="N41">
        <v>0</v>
      </c>
      <c r="O41">
        <v>12.6</v>
      </c>
      <c r="P41">
        <v>1.4</v>
      </c>
      <c r="Q41">
        <v>1.5</v>
      </c>
      <c r="R41">
        <v>0</v>
      </c>
      <c r="S41" t="s">
        <v>7</v>
      </c>
      <c r="T41">
        <v>3.5</v>
      </c>
      <c r="U41">
        <v>5.3</v>
      </c>
      <c r="V41">
        <v>7.8</v>
      </c>
      <c r="W41">
        <v>1.6</v>
      </c>
      <c r="X41">
        <v>9.9</v>
      </c>
      <c r="Y41">
        <v>3.4</v>
      </c>
      <c r="Z41">
        <v>0</v>
      </c>
      <c r="AA41">
        <v>1.9</v>
      </c>
      <c r="AB41">
        <v>3.1</v>
      </c>
    </row>
    <row r="42" spans="1:31" x14ac:dyDescent="0.25">
      <c r="A42">
        <v>41</v>
      </c>
      <c r="B42" t="s">
        <v>715</v>
      </c>
      <c r="C42" t="s">
        <v>22</v>
      </c>
      <c r="D42">
        <v>5.5</v>
      </c>
      <c r="E42">
        <v>4.5999999999999996</v>
      </c>
      <c r="F42">
        <v>54.6</v>
      </c>
      <c r="G42" s="3">
        <f t="shared" si="0"/>
        <v>2</v>
      </c>
      <c r="H42" s="3">
        <f t="shared" si="1"/>
        <v>0</v>
      </c>
      <c r="I42" s="3">
        <f t="shared" si="2"/>
        <v>0</v>
      </c>
      <c r="J42" s="3">
        <f t="shared" si="3"/>
        <v>12</v>
      </c>
      <c r="K42">
        <v>5.5</v>
      </c>
      <c r="L42">
        <v>10</v>
      </c>
      <c r="M42">
        <v>2.1</v>
      </c>
      <c r="N42">
        <v>2.2000000000000002</v>
      </c>
      <c r="O42">
        <v>4.7</v>
      </c>
      <c r="P42">
        <v>4.7</v>
      </c>
      <c r="Q42">
        <v>4</v>
      </c>
      <c r="R42" t="s">
        <v>8</v>
      </c>
      <c r="S42" t="s">
        <v>8</v>
      </c>
      <c r="T42" t="s">
        <v>8</v>
      </c>
      <c r="U42" t="s">
        <v>8</v>
      </c>
      <c r="V42" t="s">
        <v>8</v>
      </c>
      <c r="W42" t="s">
        <v>7</v>
      </c>
      <c r="X42">
        <v>6.6</v>
      </c>
      <c r="Y42">
        <v>0</v>
      </c>
      <c r="Z42">
        <v>4.5999999999999996</v>
      </c>
      <c r="AA42">
        <v>0</v>
      </c>
      <c r="AB42">
        <v>10.199999999999999</v>
      </c>
    </row>
    <row r="43" spans="1:31" x14ac:dyDescent="0.25">
      <c r="A43">
        <v>42</v>
      </c>
      <c r="B43" t="s">
        <v>716</v>
      </c>
      <c r="C43" t="s">
        <v>38</v>
      </c>
      <c r="D43">
        <v>6.2</v>
      </c>
      <c r="E43">
        <v>3.1</v>
      </c>
      <c r="F43">
        <v>53.3</v>
      </c>
      <c r="G43" s="3">
        <f t="shared" si="0"/>
        <v>1</v>
      </c>
      <c r="H43" s="3">
        <f t="shared" si="1"/>
        <v>0</v>
      </c>
      <c r="I43" s="3">
        <f t="shared" si="2"/>
        <v>0</v>
      </c>
      <c r="J43" s="3">
        <f t="shared" si="3"/>
        <v>17</v>
      </c>
      <c r="K43">
        <v>6.2</v>
      </c>
      <c r="L43">
        <v>3.3</v>
      </c>
      <c r="M43">
        <v>8.4</v>
      </c>
      <c r="N43">
        <v>0</v>
      </c>
      <c r="O43">
        <v>0.5</v>
      </c>
      <c r="P43">
        <v>0</v>
      </c>
      <c r="Q43">
        <v>2.6</v>
      </c>
      <c r="R43">
        <v>0</v>
      </c>
      <c r="S43">
        <v>2.1</v>
      </c>
      <c r="T43">
        <v>0</v>
      </c>
      <c r="U43">
        <v>14.7</v>
      </c>
      <c r="V43">
        <v>0</v>
      </c>
      <c r="W43" t="s">
        <v>7</v>
      </c>
      <c r="X43">
        <v>0</v>
      </c>
      <c r="Y43">
        <v>3.4</v>
      </c>
      <c r="Z43">
        <v>4.3</v>
      </c>
      <c r="AA43">
        <v>2.7</v>
      </c>
      <c r="AB43">
        <v>5.0999999999999996</v>
      </c>
    </row>
    <row r="44" spans="1:31" x14ac:dyDescent="0.25">
      <c r="A44">
        <v>43</v>
      </c>
      <c r="B44" t="s">
        <v>717</v>
      </c>
      <c r="C44" t="s">
        <v>60</v>
      </c>
      <c r="D44">
        <v>8.1</v>
      </c>
      <c r="E44">
        <v>7.4</v>
      </c>
      <c r="F44">
        <v>51.7</v>
      </c>
      <c r="G44" s="3">
        <f t="shared" si="0"/>
        <v>2</v>
      </c>
      <c r="H44" s="3">
        <f t="shared" si="1"/>
        <v>0</v>
      </c>
      <c r="I44" s="3">
        <f t="shared" si="2"/>
        <v>0</v>
      </c>
      <c r="J44" s="3">
        <f t="shared" si="3"/>
        <v>7</v>
      </c>
      <c r="K44">
        <v>8.1</v>
      </c>
      <c r="L44">
        <v>11.6</v>
      </c>
      <c r="M44">
        <v>2.6</v>
      </c>
      <c r="N44">
        <v>11.3</v>
      </c>
      <c r="O44">
        <v>9</v>
      </c>
      <c r="P44">
        <v>4.2</v>
      </c>
      <c r="Q44">
        <v>4.9000000000000004</v>
      </c>
      <c r="R44" t="s">
        <v>8</v>
      </c>
      <c r="S44" t="s">
        <v>8</v>
      </c>
      <c r="T44" t="s">
        <v>8</v>
      </c>
      <c r="U44" t="s">
        <v>8</v>
      </c>
      <c r="V44" t="s">
        <v>8</v>
      </c>
      <c r="W44" t="s">
        <v>8</v>
      </c>
      <c r="X44" t="s">
        <v>7</v>
      </c>
      <c r="Y44" t="s">
        <v>8</v>
      </c>
      <c r="Z44" t="s">
        <v>8</v>
      </c>
      <c r="AA44" t="s">
        <v>8</v>
      </c>
      <c r="AB44" t="s">
        <v>8</v>
      </c>
    </row>
    <row r="45" spans="1:31" x14ac:dyDescent="0.25">
      <c r="A45">
        <v>44</v>
      </c>
      <c r="B45" t="s">
        <v>718</v>
      </c>
      <c r="C45" t="s">
        <v>32</v>
      </c>
      <c r="D45" t="s">
        <v>8</v>
      </c>
      <c r="E45">
        <v>3.9</v>
      </c>
      <c r="F45">
        <v>50.9</v>
      </c>
      <c r="G45" s="3">
        <f t="shared" si="0"/>
        <v>0</v>
      </c>
      <c r="H45" s="3">
        <f t="shared" si="1"/>
        <v>0</v>
      </c>
      <c r="I45" s="3">
        <f t="shared" si="2"/>
        <v>0</v>
      </c>
      <c r="J45" s="3">
        <f t="shared" si="3"/>
        <v>13</v>
      </c>
      <c r="K45" t="s">
        <v>8</v>
      </c>
      <c r="L45">
        <v>4.7</v>
      </c>
      <c r="M45">
        <v>9.3000000000000007</v>
      </c>
      <c r="N45">
        <v>0</v>
      </c>
      <c r="O45">
        <v>0</v>
      </c>
      <c r="P45">
        <v>2.1</v>
      </c>
      <c r="Q45" t="s">
        <v>7</v>
      </c>
      <c r="R45" t="s">
        <v>8</v>
      </c>
      <c r="S45" t="s">
        <v>8</v>
      </c>
      <c r="T45" t="s">
        <v>8</v>
      </c>
      <c r="U45">
        <v>0</v>
      </c>
      <c r="V45">
        <v>1.9</v>
      </c>
      <c r="W45">
        <v>9.4</v>
      </c>
      <c r="X45">
        <v>6.5</v>
      </c>
      <c r="Y45">
        <v>2.4</v>
      </c>
      <c r="Z45">
        <v>4.7</v>
      </c>
      <c r="AA45">
        <v>9.9</v>
      </c>
      <c r="AB45">
        <v>0</v>
      </c>
    </row>
    <row r="46" spans="1:31" x14ac:dyDescent="0.25">
      <c r="A46">
        <v>45</v>
      </c>
      <c r="B46" t="s">
        <v>719</v>
      </c>
      <c r="C46" t="s">
        <v>55</v>
      </c>
      <c r="D46">
        <v>1.1000000000000001</v>
      </c>
      <c r="E46">
        <v>3</v>
      </c>
      <c r="F46">
        <v>50.5</v>
      </c>
      <c r="G46" s="3">
        <f t="shared" si="0"/>
        <v>0</v>
      </c>
      <c r="H46" s="3">
        <f t="shared" si="1"/>
        <v>0</v>
      </c>
      <c r="I46" s="3">
        <f t="shared" si="2"/>
        <v>0</v>
      </c>
      <c r="J46" s="3">
        <f t="shared" si="3"/>
        <v>17</v>
      </c>
      <c r="K46">
        <v>1.1000000000000001</v>
      </c>
      <c r="L46">
        <v>0</v>
      </c>
      <c r="M46">
        <v>1.8</v>
      </c>
      <c r="N46">
        <v>1.6</v>
      </c>
      <c r="O46">
        <v>1.7</v>
      </c>
      <c r="P46">
        <v>0</v>
      </c>
      <c r="Q46">
        <v>0</v>
      </c>
      <c r="R46">
        <v>0</v>
      </c>
      <c r="S46">
        <v>7.3</v>
      </c>
      <c r="T46">
        <v>5.4</v>
      </c>
      <c r="U46">
        <v>6.8</v>
      </c>
      <c r="V46">
        <v>1.8</v>
      </c>
      <c r="W46" t="s">
        <v>7</v>
      </c>
      <c r="X46">
        <v>3.5</v>
      </c>
      <c r="Y46">
        <v>3.3</v>
      </c>
      <c r="Z46">
        <v>8.3000000000000007</v>
      </c>
      <c r="AA46">
        <v>7.9</v>
      </c>
      <c r="AB46">
        <v>0</v>
      </c>
    </row>
    <row r="47" spans="1:31" x14ac:dyDescent="0.25">
      <c r="A47">
        <v>46</v>
      </c>
      <c r="B47" t="s">
        <v>720</v>
      </c>
      <c r="C47" t="s">
        <v>30</v>
      </c>
      <c r="D47">
        <v>0</v>
      </c>
      <c r="E47">
        <v>3</v>
      </c>
      <c r="F47">
        <v>50.3</v>
      </c>
      <c r="G47" s="3">
        <f t="shared" si="0"/>
        <v>1</v>
      </c>
      <c r="H47" s="3">
        <f t="shared" si="1"/>
        <v>0</v>
      </c>
      <c r="I47" s="3">
        <f t="shared" si="2"/>
        <v>0</v>
      </c>
      <c r="J47" s="3">
        <f t="shared" si="3"/>
        <v>17</v>
      </c>
      <c r="K47">
        <v>0</v>
      </c>
      <c r="L47">
        <v>0</v>
      </c>
      <c r="M47">
        <v>1.7</v>
      </c>
      <c r="N47">
        <v>0.9</v>
      </c>
      <c r="O47">
        <v>0</v>
      </c>
      <c r="P47">
        <v>1.4</v>
      </c>
      <c r="Q47" t="s">
        <v>7</v>
      </c>
      <c r="R47">
        <v>0</v>
      </c>
      <c r="S47">
        <v>12</v>
      </c>
      <c r="T47">
        <v>3.2</v>
      </c>
      <c r="U47">
        <v>3.9</v>
      </c>
      <c r="V47">
        <v>8.1</v>
      </c>
      <c r="W47">
        <v>2.1</v>
      </c>
      <c r="X47">
        <v>2.4</v>
      </c>
      <c r="Y47">
        <v>0</v>
      </c>
      <c r="Z47">
        <v>6.8</v>
      </c>
      <c r="AA47">
        <v>5.0999999999999996</v>
      </c>
      <c r="AB47">
        <v>2.7</v>
      </c>
    </row>
    <row r="48" spans="1:31" x14ac:dyDescent="0.25">
      <c r="A48">
        <v>47</v>
      </c>
      <c r="B48" t="s">
        <v>721</v>
      </c>
      <c r="C48" t="s">
        <v>24</v>
      </c>
      <c r="D48">
        <v>0</v>
      </c>
      <c r="E48">
        <v>2.9</v>
      </c>
      <c r="F48">
        <v>49.1</v>
      </c>
      <c r="G48" s="3">
        <f t="shared" si="0"/>
        <v>2</v>
      </c>
      <c r="H48" s="3">
        <f t="shared" si="1"/>
        <v>0</v>
      </c>
      <c r="I48" s="3">
        <f t="shared" si="2"/>
        <v>0</v>
      </c>
      <c r="J48" s="3">
        <f t="shared" si="3"/>
        <v>17</v>
      </c>
      <c r="K48">
        <v>0</v>
      </c>
      <c r="L48">
        <v>2.5</v>
      </c>
      <c r="M48">
        <v>0</v>
      </c>
      <c r="N48">
        <v>10.5</v>
      </c>
      <c r="O48">
        <v>2.7</v>
      </c>
      <c r="P48">
        <v>0</v>
      </c>
      <c r="Q48">
        <v>0.4</v>
      </c>
      <c r="R48">
        <v>2.1</v>
      </c>
      <c r="S48">
        <v>0</v>
      </c>
      <c r="T48">
        <v>0</v>
      </c>
      <c r="U48" t="s">
        <v>7</v>
      </c>
      <c r="V48">
        <v>4</v>
      </c>
      <c r="W48">
        <v>0</v>
      </c>
      <c r="X48">
        <v>7.2</v>
      </c>
      <c r="Y48">
        <v>10.1</v>
      </c>
      <c r="Z48">
        <v>0</v>
      </c>
      <c r="AA48">
        <v>3.8</v>
      </c>
      <c r="AB48">
        <v>5.8</v>
      </c>
    </row>
    <row r="49" spans="1:28" x14ac:dyDescent="0.25">
      <c r="A49">
        <v>48</v>
      </c>
      <c r="B49" t="s">
        <v>722</v>
      </c>
      <c r="C49" t="s">
        <v>57</v>
      </c>
      <c r="D49">
        <v>3</v>
      </c>
      <c r="E49">
        <v>3</v>
      </c>
      <c r="F49">
        <v>48.4</v>
      </c>
      <c r="G49" s="3">
        <f t="shared" si="0"/>
        <v>0</v>
      </c>
      <c r="H49" s="3">
        <f t="shared" si="1"/>
        <v>0</v>
      </c>
      <c r="I49" s="3">
        <f t="shared" si="2"/>
        <v>0</v>
      </c>
      <c r="J49" s="3">
        <f t="shared" si="3"/>
        <v>16</v>
      </c>
      <c r="K49">
        <v>3</v>
      </c>
      <c r="L49">
        <v>4</v>
      </c>
      <c r="M49" t="s">
        <v>8</v>
      </c>
      <c r="N49">
        <v>2.1</v>
      </c>
      <c r="O49">
        <v>3.1</v>
      </c>
      <c r="P49">
        <v>3.9</v>
      </c>
      <c r="Q49">
        <v>3.8</v>
      </c>
      <c r="R49">
        <v>3.9</v>
      </c>
      <c r="S49">
        <v>2</v>
      </c>
      <c r="T49">
        <v>1.7</v>
      </c>
      <c r="U49">
        <v>0</v>
      </c>
      <c r="V49">
        <v>2.4</v>
      </c>
      <c r="W49" t="s">
        <v>8</v>
      </c>
      <c r="X49">
        <v>1.5</v>
      </c>
      <c r="Y49">
        <v>0</v>
      </c>
      <c r="Z49">
        <v>3.3</v>
      </c>
      <c r="AA49">
        <v>5.8</v>
      </c>
      <c r="AB49">
        <v>7.9</v>
      </c>
    </row>
    <row r="50" spans="1:28" x14ac:dyDescent="0.25">
      <c r="A50">
        <v>49</v>
      </c>
      <c r="B50" t="s">
        <v>723</v>
      </c>
      <c r="C50" t="s">
        <v>26</v>
      </c>
      <c r="D50">
        <v>0</v>
      </c>
      <c r="E50">
        <v>3.1</v>
      </c>
      <c r="F50">
        <v>46.3</v>
      </c>
      <c r="G50" s="3">
        <f t="shared" si="0"/>
        <v>0</v>
      </c>
      <c r="H50" s="3">
        <f t="shared" si="1"/>
        <v>0</v>
      </c>
      <c r="I50" s="3">
        <f t="shared" si="2"/>
        <v>0</v>
      </c>
      <c r="J50" s="3">
        <f t="shared" si="3"/>
        <v>15</v>
      </c>
      <c r="K50">
        <v>0</v>
      </c>
      <c r="L50">
        <v>4</v>
      </c>
      <c r="M50" t="s">
        <v>8</v>
      </c>
      <c r="N50" t="s">
        <v>8</v>
      </c>
      <c r="O50">
        <v>7.6</v>
      </c>
      <c r="P50">
        <v>7.3</v>
      </c>
      <c r="Q50">
        <v>6.3</v>
      </c>
      <c r="R50">
        <v>0</v>
      </c>
      <c r="S50">
        <v>3.3</v>
      </c>
      <c r="T50">
        <v>0</v>
      </c>
      <c r="U50" t="s">
        <v>7</v>
      </c>
      <c r="V50">
        <v>0</v>
      </c>
      <c r="W50">
        <v>4.8</v>
      </c>
      <c r="X50">
        <v>2.8</v>
      </c>
      <c r="Y50">
        <v>4.3</v>
      </c>
      <c r="Z50">
        <v>2.2999999999999998</v>
      </c>
      <c r="AA50">
        <v>2.2999999999999998</v>
      </c>
      <c r="AB50">
        <v>1.3</v>
      </c>
    </row>
    <row r="51" spans="1:28" x14ac:dyDescent="0.25">
      <c r="A51">
        <v>50</v>
      </c>
      <c r="B51" t="s">
        <v>724</v>
      </c>
      <c r="C51" t="s">
        <v>90</v>
      </c>
      <c r="D51">
        <v>15.1</v>
      </c>
      <c r="E51">
        <v>4.2</v>
      </c>
      <c r="F51">
        <v>42.4</v>
      </c>
      <c r="G51" s="3">
        <f t="shared" si="0"/>
        <v>1</v>
      </c>
      <c r="H51" s="3">
        <f t="shared" si="1"/>
        <v>0</v>
      </c>
      <c r="I51" s="3">
        <f t="shared" si="2"/>
        <v>0</v>
      </c>
      <c r="J51" s="3">
        <f t="shared" si="3"/>
        <v>10</v>
      </c>
      <c r="K51">
        <v>15.1</v>
      </c>
      <c r="L51">
        <v>5</v>
      </c>
      <c r="M51">
        <v>2.1</v>
      </c>
      <c r="N51">
        <v>1.7</v>
      </c>
      <c r="O51">
        <v>5.0999999999999996</v>
      </c>
      <c r="P51">
        <v>2.6</v>
      </c>
      <c r="Q51" t="s">
        <v>8</v>
      </c>
      <c r="R51">
        <v>0</v>
      </c>
      <c r="S51">
        <v>7.4</v>
      </c>
      <c r="T51">
        <v>3.4</v>
      </c>
      <c r="U51" t="s">
        <v>8</v>
      </c>
      <c r="V51" t="s">
        <v>8</v>
      </c>
      <c r="W51" t="s">
        <v>8</v>
      </c>
      <c r="X51" t="s">
        <v>8</v>
      </c>
      <c r="Y51" t="s">
        <v>8</v>
      </c>
      <c r="Z51">
        <v>0</v>
      </c>
      <c r="AA51" t="s">
        <v>8</v>
      </c>
      <c r="AB51" t="s">
        <v>8</v>
      </c>
    </row>
    <row r="52" spans="1:28" x14ac:dyDescent="0.25">
      <c r="A52">
        <v>51</v>
      </c>
      <c r="B52" t="s">
        <v>725</v>
      </c>
      <c r="C52" t="s">
        <v>45</v>
      </c>
      <c r="D52">
        <v>3.7</v>
      </c>
      <c r="E52">
        <v>2.7</v>
      </c>
      <c r="F52">
        <v>40.200000000000003</v>
      </c>
      <c r="G52" s="3">
        <f t="shared" ref="G52:G101" si="4">COUNTIFS(K52:AB52,"&gt;=10",K52:AB52,"&lt;=99")</f>
        <v>1</v>
      </c>
      <c r="H52" s="3">
        <f t="shared" ref="H52:H101" si="5">COUNTIFS(K52:AB52,"&gt;=20",K52:AB52,"&lt;=99")</f>
        <v>0</v>
      </c>
      <c r="I52" s="3">
        <f t="shared" ref="I52:I101" si="6">COUNTIFS(K52:AB52,"&gt;=30",K52:AB52,"&lt;=99")</f>
        <v>0</v>
      </c>
      <c r="J52" s="3">
        <f t="shared" ref="J52:J101" si="7">COUNT(K52:AB52)</f>
        <v>15</v>
      </c>
      <c r="K52">
        <v>3.7</v>
      </c>
      <c r="L52">
        <v>6.5</v>
      </c>
      <c r="M52" t="s">
        <v>8</v>
      </c>
      <c r="N52" t="s">
        <v>8</v>
      </c>
      <c r="O52" t="s">
        <v>7</v>
      </c>
      <c r="P52">
        <v>1.4</v>
      </c>
      <c r="Q52">
        <v>0</v>
      </c>
      <c r="R52">
        <v>0</v>
      </c>
      <c r="S52">
        <v>0</v>
      </c>
      <c r="T52">
        <v>4.2</v>
      </c>
      <c r="U52">
        <v>1.9</v>
      </c>
      <c r="V52">
        <v>3.1</v>
      </c>
      <c r="W52">
        <v>0</v>
      </c>
      <c r="X52">
        <v>1.3</v>
      </c>
      <c r="Y52">
        <v>2.9</v>
      </c>
      <c r="Z52">
        <v>1.6</v>
      </c>
      <c r="AA52">
        <v>0</v>
      </c>
      <c r="AB52">
        <v>13.6</v>
      </c>
    </row>
    <row r="53" spans="1:28" x14ac:dyDescent="0.25">
      <c r="A53">
        <v>51</v>
      </c>
      <c r="B53" t="s">
        <v>726</v>
      </c>
      <c r="C53" t="s">
        <v>66</v>
      </c>
      <c r="D53">
        <v>0</v>
      </c>
      <c r="E53">
        <v>2.5</v>
      </c>
      <c r="F53">
        <v>40.200000000000003</v>
      </c>
      <c r="G53" s="3">
        <f t="shared" si="4"/>
        <v>2</v>
      </c>
      <c r="H53" s="3">
        <f t="shared" si="5"/>
        <v>0</v>
      </c>
      <c r="I53" s="3">
        <f t="shared" si="6"/>
        <v>0</v>
      </c>
      <c r="J53" s="3">
        <f t="shared" si="7"/>
        <v>16</v>
      </c>
      <c r="K53">
        <v>0</v>
      </c>
      <c r="L53" t="s">
        <v>8</v>
      </c>
      <c r="M53">
        <v>0</v>
      </c>
      <c r="N53">
        <v>0</v>
      </c>
      <c r="O53">
        <v>2.1</v>
      </c>
      <c r="P53">
        <v>0</v>
      </c>
      <c r="Q53">
        <v>0</v>
      </c>
      <c r="R53">
        <v>1.8</v>
      </c>
      <c r="S53">
        <v>2.8</v>
      </c>
      <c r="T53">
        <v>2.8</v>
      </c>
      <c r="U53">
        <v>0</v>
      </c>
      <c r="V53">
        <v>0</v>
      </c>
      <c r="W53" t="s">
        <v>8</v>
      </c>
      <c r="X53">
        <v>1.4</v>
      </c>
      <c r="Y53">
        <v>1.3</v>
      </c>
      <c r="Z53">
        <v>3.3</v>
      </c>
      <c r="AA53">
        <v>13.9</v>
      </c>
      <c r="AB53">
        <v>10.8</v>
      </c>
    </row>
    <row r="54" spans="1:28" x14ac:dyDescent="0.25">
      <c r="A54">
        <v>53</v>
      </c>
      <c r="B54" t="s">
        <v>727</v>
      </c>
      <c r="C54" t="s">
        <v>78</v>
      </c>
      <c r="D54">
        <v>3.9</v>
      </c>
      <c r="E54">
        <v>2.2999999999999998</v>
      </c>
      <c r="F54">
        <v>39.700000000000003</v>
      </c>
      <c r="G54" s="3">
        <f t="shared" si="4"/>
        <v>0</v>
      </c>
      <c r="H54" s="3">
        <f t="shared" si="5"/>
        <v>0</v>
      </c>
      <c r="I54" s="3">
        <f t="shared" si="6"/>
        <v>0</v>
      </c>
      <c r="J54" s="3">
        <f t="shared" si="7"/>
        <v>17</v>
      </c>
      <c r="K54">
        <v>3.9</v>
      </c>
      <c r="L54">
        <v>0</v>
      </c>
      <c r="M54">
        <v>0</v>
      </c>
      <c r="N54">
        <v>0</v>
      </c>
      <c r="O54">
        <v>5.3</v>
      </c>
      <c r="P54" t="s">
        <v>7</v>
      </c>
      <c r="Q54">
        <v>4.3</v>
      </c>
      <c r="R54">
        <v>7.4</v>
      </c>
      <c r="S54">
        <v>3.6</v>
      </c>
      <c r="T54">
        <v>6.2</v>
      </c>
      <c r="U54">
        <v>0</v>
      </c>
      <c r="V54">
        <v>3.1</v>
      </c>
      <c r="W54">
        <v>0</v>
      </c>
      <c r="X54">
        <v>3.5</v>
      </c>
      <c r="Y54">
        <v>0</v>
      </c>
      <c r="Z54">
        <v>0</v>
      </c>
      <c r="AA54">
        <v>0</v>
      </c>
      <c r="AB54">
        <v>2.4</v>
      </c>
    </row>
    <row r="55" spans="1:28" x14ac:dyDescent="0.25">
      <c r="A55">
        <v>54</v>
      </c>
      <c r="B55" t="s">
        <v>728</v>
      </c>
      <c r="C55" t="s">
        <v>40</v>
      </c>
      <c r="D55">
        <v>0</v>
      </c>
      <c r="E55">
        <v>2.6</v>
      </c>
      <c r="F55">
        <v>38.799999999999997</v>
      </c>
      <c r="G55" s="3">
        <f t="shared" si="4"/>
        <v>0</v>
      </c>
      <c r="H55" s="3">
        <f t="shared" si="5"/>
        <v>0</v>
      </c>
      <c r="I55" s="3">
        <f t="shared" si="6"/>
        <v>0</v>
      </c>
      <c r="J55" s="3">
        <f t="shared" si="7"/>
        <v>15</v>
      </c>
      <c r="K55">
        <v>0</v>
      </c>
      <c r="L55">
        <v>0.2</v>
      </c>
      <c r="M55">
        <v>6</v>
      </c>
      <c r="N55">
        <v>0</v>
      </c>
      <c r="O55">
        <v>0</v>
      </c>
      <c r="P55">
        <v>0</v>
      </c>
      <c r="Q55" t="s">
        <v>7</v>
      </c>
      <c r="R55">
        <v>5.9</v>
      </c>
      <c r="S55">
        <v>2.5</v>
      </c>
      <c r="T55" t="s">
        <v>8</v>
      </c>
      <c r="U55">
        <v>0</v>
      </c>
      <c r="V55">
        <v>1.1000000000000001</v>
      </c>
      <c r="W55">
        <v>1.5</v>
      </c>
      <c r="X55">
        <v>3.6</v>
      </c>
      <c r="Y55">
        <v>0.5</v>
      </c>
      <c r="Z55">
        <v>8.6</v>
      </c>
      <c r="AA55" t="s">
        <v>8</v>
      </c>
      <c r="AB55">
        <v>8.9</v>
      </c>
    </row>
    <row r="56" spans="1:28" x14ac:dyDescent="0.25">
      <c r="A56">
        <v>55</v>
      </c>
      <c r="B56" t="s">
        <v>729</v>
      </c>
      <c r="C56" t="s">
        <v>24</v>
      </c>
      <c r="D56" t="s">
        <v>8</v>
      </c>
      <c r="E56">
        <v>3.2</v>
      </c>
      <c r="F56">
        <v>38.700000000000003</v>
      </c>
      <c r="G56" s="3">
        <f t="shared" si="4"/>
        <v>0</v>
      </c>
      <c r="H56" s="3">
        <f t="shared" si="5"/>
        <v>0</v>
      </c>
      <c r="I56" s="3">
        <f t="shared" si="6"/>
        <v>0</v>
      </c>
      <c r="J56" s="3">
        <f t="shared" si="7"/>
        <v>12</v>
      </c>
      <c r="K56" t="s">
        <v>8</v>
      </c>
      <c r="L56">
        <v>6.9</v>
      </c>
      <c r="M56" t="s">
        <v>8</v>
      </c>
      <c r="N56" t="s">
        <v>8</v>
      </c>
      <c r="O56" t="s">
        <v>8</v>
      </c>
      <c r="P56">
        <v>0</v>
      </c>
      <c r="Q56">
        <v>0</v>
      </c>
      <c r="R56">
        <v>1.6</v>
      </c>
      <c r="S56" t="s">
        <v>8</v>
      </c>
      <c r="T56">
        <v>1.7</v>
      </c>
      <c r="U56" t="s">
        <v>7</v>
      </c>
      <c r="V56">
        <v>4.9000000000000004</v>
      </c>
      <c r="W56">
        <v>2.4</v>
      </c>
      <c r="X56">
        <v>9.6</v>
      </c>
      <c r="Y56">
        <v>0</v>
      </c>
      <c r="Z56">
        <v>8.6999999999999993</v>
      </c>
      <c r="AA56">
        <v>2.9</v>
      </c>
      <c r="AB56">
        <v>0</v>
      </c>
    </row>
    <row r="57" spans="1:28" x14ac:dyDescent="0.25">
      <c r="A57">
        <v>56</v>
      </c>
      <c r="B57" t="s">
        <v>730</v>
      </c>
      <c r="C57" t="s">
        <v>6</v>
      </c>
      <c r="D57">
        <v>8.5</v>
      </c>
      <c r="E57">
        <v>2.2000000000000002</v>
      </c>
      <c r="F57">
        <v>37.9</v>
      </c>
      <c r="G57" s="3">
        <f t="shared" si="4"/>
        <v>1</v>
      </c>
      <c r="H57" s="3">
        <f t="shared" si="5"/>
        <v>0</v>
      </c>
      <c r="I57" s="3">
        <f t="shared" si="6"/>
        <v>0</v>
      </c>
      <c r="J57" s="3">
        <f t="shared" si="7"/>
        <v>17</v>
      </c>
      <c r="K57">
        <v>8.5</v>
      </c>
      <c r="L57">
        <v>0</v>
      </c>
      <c r="M57">
        <v>0.4</v>
      </c>
      <c r="N57">
        <v>1.4</v>
      </c>
      <c r="O57" t="s">
        <v>8</v>
      </c>
      <c r="P57">
        <v>0</v>
      </c>
      <c r="Q57">
        <v>0</v>
      </c>
      <c r="R57">
        <v>0</v>
      </c>
      <c r="S57">
        <v>0</v>
      </c>
      <c r="T57">
        <v>1.5</v>
      </c>
      <c r="U57">
        <v>0</v>
      </c>
      <c r="V57">
        <v>5.2</v>
      </c>
      <c r="W57">
        <v>15.9</v>
      </c>
      <c r="X57">
        <v>0</v>
      </c>
      <c r="Y57">
        <v>0</v>
      </c>
      <c r="Z57">
        <v>1.6</v>
      </c>
      <c r="AA57">
        <v>3.4</v>
      </c>
      <c r="AB57">
        <v>0</v>
      </c>
    </row>
    <row r="58" spans="1:28" x14ac:dyDescent="0.25">
      <c r="A58">
        <v>57</v>
      </c>
      <c r="B58" t="s">
        <v>731</v>
      </c>
      <c r="C58" t="s">
        <v>18</v>
      </c>
      <c r="D58">
        <v>0</v>
      </c>
      <c r="E58">
        <v>2.4</v>
      </c>
      <c r="F58">
        <v>37.799999999999997</v>
      </c>
      <c r="G58" s="3">
        <f t="shared" si="4"/>
        <v>1</v>
      </c>
      <c r="H58" s="3">
        <f t="shared" si="5"/>
        <v>0</v>
      </c>
      <c r="I58" s="3">
        <f t="shared" si="6"/>
        <v>0</v>
      </c>
      <c r="J58" s="3">
        <f t="shared" si="7"/>
        <v>16</v>
      </c>
      <c r="K58">
        <v>0</v>
      </c>
      <c r="L58" t="s">
        <v>8</v>
      </c>
      <c r="M58">
        <v>15.1</v>
      </c>
      <c r="N58">
        <v>0</v>
      </c>
      <c r="O58">
        <v>0</v>
      </c>
      <c r="P58">
        <v>2.5</v>
      </c>
      <c r="Q58">
        <v>7.1</v>
      </c>
      <c r="R58">
        <v>5.3</v>
      </c>
      <c r="S58">
        <v>0</v>
      </c>
      <c r="T58">
        <v>0</v>
      </c>
      <c r="U58" t="s">
        <v>8</v>
      </c>
      <c r="V58">
        <v>0</v>
      </c>
      <c r="W58">
        <v>0</v>
      </c>
      <c r="X58">
        <v>1.4</v>
      </c>
      <c r="Y58">
        <v>1.4</v>
      </c>
      <c r="Z58">
        <v>4.5</v>
      </c>
      <c r="AA58">
        <v>-0.5</v>
      </c>
      <c r="AB58">
        <v>1</v>
      </c>
    </row>
    <row r="59" spans="1:28" x14ac:dyDescent="0.25">
      <c r="A59">
        <v>58</v>
      </c>
      <c r="B59" t="s">
        <v>732</v>
      </c>
      <c r="C59" t="s">
        <v>28</v>
      </c>
      <c r="D59" t="s">
        <v>8</v>
      </c>
      <c r="E59">
        <v>3.3</v>
      </c>
      <c r="F59">
        <v>36.299999999999997</v>
      </c>
      <c r="G59" s="3">
        <f t="shared" si="4"/>
        <v>1</v>
      </c>
      <c r="H59" s="3">
        <f t="shared" si="5"/>
        <v>0</v>
      </c>
      <c r="I59" s="3">
        <f t="shared" si="6"/>
        <v>0</v>
      </c>
      <c r="J59" s="3">
        <f t="shared" si="7"/>
        <v>11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>
        <v>1</v>
      </c>
      <c r="R59">
        <v>0</v>
      </c>
      <c r="S59">
        <v>0</v>
      </c>
      <c r="T59">
        <v>0</v>
      </c>
      <c r="U59">
        <v>1.2</v>
      </c>
      <c r="V59">
        <v>3.6</v>
      </c>
      <c r="W59">
        <v>3.1</v>
      </c>
      <c r="X59" t="s">
        <v>7</v>
      </c>
      <c r="Y59">
        <v>14.4</v>
      </c>
      <c r="Z59">
        <v>3.7</v>
      </c>
      <c r="AA59">
        <v>4.0999999999999996</v>
      </c>
      <c r="AB59">
        <v>5.2</v>
      </c>
    </row>
    <row r="60" spans="1:28" x14ac:dyDescent="0.25">
      <c r="A60">
        <v>59</v>
      </c>
      <c r="B60" t="s">
        <v>733</v>
      </c>
      <c r="C60" t="s">
        <v>24</v>
      </c>
      <c r="D60">
        <v>3</v>
      </c>
      <c r="E60">
        <v>3</v>
      </c>
      <c r="F60">
        <v>35.700000000000003</v>
      </c>
      <c r="G60" s="3">
        <f t="shared" si="4"/>
        <v>2</v>
      </c>
      <c r="H60" s="3">
        <f t="shared" si="5"/>
        <v>0</v>
      </c>
      <c r="I60" s="3">
        <f t="shared" si="6"/>
        <v>0</v>
      </c>
      <c r="J60" s="3">
        <f t="shared" si="7"/>
        <v>12</v>
      </c>
      <c r="K60">
        <v>3</v>
      </c>
      <c r="L60" t="s">
        <v>8</v>
      </c>
      <c r="M60">
        <v>2.1</v>
      </c>
      <c r="N60">
        <v>13.8</v>
      </c>
      <c r="O60">
        <v>3.6</v>
      </c>
      <c r="P60">
        <v>0</v>
      </c>
      <c r="Q60">
        <v>0</v>
      </c>
      <c r="R60">
        <v>10.3</v>
      </c>
      <c r="S60">
        <v>2.9</v>
      </c>
      <c r="T60" t="s">
        <v>8</v>
      </c>
      <c r="U60" t="s">
        <v>7</v>
      </c>
      <c r="V60" t="s">
        <v>8</v>
      </c>
      <c r="W60">
        <v>0</v>
      </c>
      <c r="X60">
        <v>0</v>
      </c>
      <c r="Y60">
        <v>0</v>
      </c>
      <c r="Z60">
        <v>0</v>
      </c>
      <c r="AA60" t="s">
        <v>8</v>
      </c>
      <c r="AB60" t="s">
        <v>8</v>
      </c>
    </row>
    <row r="61" spans="1:28" x14ac:dyDescent="0.25">
      <c r="A61">
        <v>60</v>
      </c>
      <c r="B61" t="s">
        <v>734</v>
      </c>
      <c r="C61" t="s">
        <v>60</v>
      </c>
      <c r="D61">
        <v>0</v>
      </c>
      <c r="E61">
        <v>2</v>
      </c>
      <c r="F61">
        <v>34.1</v>
      </c>
      <c r="G61" s="3">
        <f t="shared" si="4"/>
        <v>0</v>
      </c>
      <c r="H61" s="3">
        <f t="shared" si="5"/>
        <v>0</v>
      </c>
      <c r="I61" s="3">
        <f t="shared" si="6"/>
        <v>0</v>
      </c>
      <c r="J61" s="3">
        <f t="shared" si="7"/>
        <v>17</v>
      </c>
      <c r="K61">
        <v>0</v>
      </c>
      <c r="L61">
        <v>7.6</v>
      </c>
      <c r="M61">
        <v>3.2</v>
      </c>
      <c r="N61">
        <v>1.6</v>
      </c>
      <c r="O61">
        <v>3.9</v>
      </c>
      <c r="P61">
        <v>0</v>
      </c>
      <c r="Q61">
        <v>0</v>
      </c>
      <c r="R61">
        <v>2.7</v>
      </c>
      <c r="S61">
        <v>0.5</v>
      </c>
      <c r="T61">
        <v>5.0999999999999996</v>
      </c>
      <c r="U61">
        <v>3.5</v>
      </c>
      <c r="V61">
        <v>0</v>
      </c>
      <c r="W61">
        <v>0</v>
      </c>
      <c r="X61" t="s">
        <v>7</v>
      </c>
      <c r="Y61">
        <v>0</v>
      </c>
      <c r="Z61">
        <v>4.4000000000000004</v>
      </c>
      <c r="AA61">
        <v>1.6</v>
      </c>
      <c r="AB61">
        <v>0</v>
      </c>
    </row>
    <row r="62" spans="1:28" x14ac:dyDescent="0.25">
      <c r="A62">
        <v>61</v>
      </c>
      <c r="B62" t="s">
        <v>735</v>
      </c>
      <c r="C62" t="s">
        <v>90</v>
      </c>
      <c r="D62" t="s">
        <v>8</v>
      </c>
      <c r="E62">
        <v>3.1</v>
      </c>
      <c r="F62">
        <v>33.9</v>
      </c>
      <c r="G62" s="3">
        <f t="shared" si="4"/>
        <v>0</v>
      </c>
      <c r="H62" s="3">
        <f t="shared" si="5"/>
        <v>0</v>
      </c>
      <c r="I62" s="3">
        <f t="shared" si="6"/>
        <v>0</v>
      </c>
      <c r="J62" s="3">
        <f t="shared" si="7"/>
        <v>11</v>
      </c>
      <c r="K62" t="s">
        <v>8</v>
      </c>
      <c r="L62">
        <v>0</v>
      </c>
      <c r="M62">
        <v>7.8</v>
      </c>
      <c r="N62" t="s">
        <v>8</v>
      </c>
      <c r="O62">
        <v>0</v>
      </c>
      <c r="P62">
        <v>0</v>
      </c>
      <c r="Q62">
        <v>0</v>
      </c>
      <c r="R62" t="s">
        <v>8</v>
      </c>
      <c r="S62" t="s">
        <v>8</v>
      </c>
      <c r="T62" t="s">
        <v>8</v>
      </c>
      <c r="U62" t="s">
        <v>8</v>
      </c>
      <c r="V62" t="s">
        <v>8</v>
      </c>
      <c r="W62">
        <v>7.6</v>
      </c>
      <c r="X62">
        <v>9.6</v>
      </c>
      <c r="Y62">
        <v>8.9</v>
      </c>
      <c r="Z62">
        <v>0</v>
      </c>
      <c r="AA62">
        <v>0</v>
      </c>
      <c r="AB62">
        <v>0</v>
      </c>
    </row>
    <row r="63" spans="1:28" x14ac:dyDescent="0.25">
      <c r="A63">
        <v>62</v>
      </c>
      <c r="B63" t="s">
        <v>736</v>
      </c>
      <c r="C63" t="s">
        <v>32</v>
      </c>
      <c r="D63">
        <v>4.7</v>
      </c>
      <c r="E63">
        <v>2.8</v>
      </c>
      <c r="F63">
        <v>33.5</v>
      </c>
      <c r="G63" s="3">
        <f t="shared" si="4"/>
        <v>1</v>
      </c>
      <c r="H63" s="3">
        <f t="shared" si="5"/>
        <v>0</v>
      </c>
      <c r="I63" s="3">
        <f t="shared" si="6"/>
        <v>0</v>
      </c>
      <c r="J63" s="3">
        <f t="shared" si="7"/>
        <v>12</v>
      </c>
      <c r="K63">
        <v>4.7</v>
      </c>
      <c r="L63">
        <v>3</v>
      </c>
      <c r="M63" t="s">
        <v>8</v>
      </c>
      <c r="N63" t="s">
        <v>8</v>
      </c>
      <c r="O63">
        <v>0</v>
      </c>
      <c r="P63">
        <v>1.5</v>
      </c>
      <c r="Q63" t="s">
        <v>7</v>
      </c>
      <c r="R63">
        <v>4.5</v>
      </c>
      <c r="S63">
        <v>11.6</v>
      </c>
      <c r="T63">
        <v>1.6</v>
      </c>
      <c r="U63">
        <v>0</v>
      </c>
      <c r="V63">
        <v>2.8</v>
      </c>
      <c r="W63">
        <v>0</v>
      </c>
      <c r="X63">
        <v>0</v>
      </c>
      <c r="Y63">
        <v>3.8</v>
      </c>
      <c r="Z63" t="s">
        <v>8</v>
      </c>
      <c r="AA63" t="s">
        <v>8</v>
      </c>
      <c r="AB63" t="s">
        <v>8</v>
      </c>
    </row>
    <row r="64" spans="1:28" x14ac:dyDescent="0.25">
      <c r="A64">
        <v>63</v>
      </c>
      <c r="B64" t="s">
        <v>737</v>
      </c>
      <c r="C64" t="s">
        <v>40</v>
      </c>
      <c r="D64" t="s">
        <v>8</v>
      </c>
      <c r="E64">
        <v>2.2999999999999998</v>
      </c>
      <c r="F64">
        <v>32.5</v>
      </c>
      <c r="G64" s="3">
        <f t="shared" si="4"/>
        <v>1</v>
      </c>
      <c r="H64" s="3">
        <f t="shared" si="5"/>
        <v>0</v>
      </c>
      <c r="I64" s="3">
        <f t="shared" si="6"/>
        <v>0</v>
      </c>
      <c r="J64" s="3">
        <f t="shared" si="7"/>
        <v>14</v>
      </c>
      <c r="K64" t="s">
        <v>8</v>
      </c>
      <c r="L64">
        <v>3.4</v>
      </c>
      <c r="M64" t="s">
        <v>8</v>
      </c>
      <c r="N64">
        <v>0</v>
      </c>
      <c r="O64" t="s">
        <v>8</v>
      </c>
      <c r="P64">
        <v>0</v>
      </c>
      <c r="Q64">
        <v>1.5</v>
      </c>
      <c r="R64">
        <v>0</v>
      </c>
      <c r="S64">
        <v>0</v>
      </c>
      <c r="T64">
        <v>0</v>
      </c>
      <c r="U64">
        <v>12.1</v>
      </c>
      <c r="V64">
        <v>0</v>
      </c>
      <c r="W64">
        <v>0</v>
      </c>
      <c r="X64" t="s">
        <v>8</v>
      </c>
      <c r="Y64">
        <v>4.5</v>
      </c>
      <c r="Z64">
        <v>3.3</v>
      </c>
      <c r="AA64">
        <v>4.3</v>
      </c>
      <c r="AB64">
        <v>3.4</v>
      </c>
    </row>
    <row r="65" spans="1:28" x14ac:dyDescent="0.25">
      <c r="A65">
        <v>64</v>
      </c>
      <c r="B65" t="s">
        <v>738</v>
      </c>
      <c r="C65" t="s">
        <v>40</v>
      </c>
      <c r="D65">
        <v>0</v>
      </c>
      <c r="E65">
        <v>2.1</v>
      </c>
      <c r="F65">
        <v>31.1</v>
      </c>
      <c r="G65" s="3">
        <f t="shared" si="4"/>
        <v>0</v>
      </c>
      <c r="H65" s="3">
        <f t="shared" si="5"/>
        <v>0</v>
      </c>
      <c r="I65" s="3">
        <f t="shared" si="6"/>
        <v>0</v>
      </c>
      <c r="J65" s="3">
        <f t="shared" si="7"/>
        <v>15</v>
      </c>
      <c r="K65">
        <v>0</v>
      </c>
      <c r="L65">
        <v>0</v>
      </c>
      <c r="M65">
        <v>0</v>
      </c>
      <c r="N65">
        <v>4.5999999999999996</v>
      </c>
      <c r="O65">
        <v>1.2</v>
      </c>
      <c r="P65">
        <v>1.8</v>
      </c>
      <c r="Q65" t="s">
        <v>7</v>
      </c>
      <c r="R65">
        <v>0</v>
      </c>
      <c r="S65">
        <v>1.7</v>
      </c>
      <c r="T65">
        <v>0</v>
      </c>
      <c r="U65">
        <v>5.5</v>
      </c>
      <c r="V65">
        <v>3.8</v>
      </c>
      <c r="W65">
        <v>2.2000000000000002</v>
      </c>
      <c r="X65">
        <v>6.7</v>
      </c>
      <c r="Y65">
        <v>3.6</v>
      </c>
      <c r="Z65">
        <v>0</v>
      </c>
      <c r="AA65" t="s">
        <v>8</v>
      </c>
      <c r="AB65" t="s">
        <v>8</v>
      </c>
    </row>
    <row r="66" spans="1:28" x14ac:dyDescent="0.25">
      <c r="A66">
        <v>65</v>
      </c>
      <c r="B66" t="s">
        <v>739</v>
      </c>
      <c r="C66" t="s">
        <v>76</v>
      </c>
      <c r="D66" t="s">
        <v>8</v>
      </c>
      <c r="E66">
        <v>1.9</v>
      </c>
      <c r="F66">
        <v>28.5</v>
      </c>
      <c r="G66" s="3">
        <f t="shared" si="4"/>
        <v>0</v>
      </c>
      <c r="H66" s="3">
        <f t="shared" si="5"/>
        <v>0</v>
      </c>
      <c r="I66" s="3">
        <f t="shared" si="6"/>
        <v>0</v>
      </c>
      <c r="J66" s="3">
        <f t="shared" si="7"/>
        <v>15</v>
      </c>
      <c r="K66" t="s">
        <v>8</v>
      </c>
      <c r="L66" t="s">
        <v>8</v>
      </c>
      <c r="M66">
        <v>1.4</v>
      </c>
      <c r="N66">
        <v>3</v>
      </c>
      <c r="O66">
        <v>2.6</v>
      </c>
      <c r="P66">
        <v>0</v>
      </c>
      <c r="Q66">
        <v>0</v>
      </c>
      <c r="R66">
        <v>1.5</v>
      </c>
      <c r="S66" t="s">
        <v>7</v>
      </c>
      <c r="T66">
        <v>0</v>
      </c>
      <c r="U66">
        <v>4.0999999999999996</v>
      </c>
      <c r="V66">
        <v>8.5</v>
      </c>
      <c r="W66">
        <v>1.9</v>
      </c>
      <c r="X66">
        <v>0</v>
      </c>
      <c r="Y66">
        <v>3.8</v>
      </c>
      <c r="Z66">
        <v>0</v>
      </c>
      <c r="AA66">
        <v>1.7</v>
      </c>
      <c r="AB66">
        <v>0</v>
      </c>
    </row>
    <row r="67" spans="1:28" x14ac:dyDescent="0.25">
      <c r="A67">
        <v>66</v>
      </c>
      <c r="B67" t="s">
        <v>740</v>
      </c>
      <c r="C67" t="s">
        <v>90</v>
      </c>
      <c r="D67">
        <v>2.2000000000000002</v>
      </c>
      <c r="E67">
        <v>1.8</v>
      </c>
      <c r="F67">
        <v>28.2</v>
      </c>
      <c r="G67" s="3">
        <f t="shared" si="4"/>
        <v>0</v>
      </c>
      <c r="H67" s="3">
        <f t="shared" si="5"/>
        <v>0</v>
      </c>
      <c r="I67" s="3">
        <f t="shared" si="6"/>
        <v>0</v>
      </c>
      <c r="J67" s="3">
        <f t="shared" si="7"/>
        <v>16</v>
      </c>
      <c r="K67">
        <v>2.2000000000000002</v>
      </c>
      <c r="L67">
        <v>1.2</v>
      </c>
      <c r="M67" t="s">
        <v>8</v>
      </c>
      <c r="N67">
        <v>1.6</v>
      </c>
      <c r="O67" t="s">
        <v>8</v>
      </c>
      <c r="P67">
        <v>0</v>
      </c>
      <c r="Q67">
        <v>0</v>
      </c>
      <c r="R67">
        <v>1.6</v>
      </c>
      <c r="S67">
        <v>2.1</v>
      </c>
      <c r="T67">
        <v>1.8</v>
      </c>
      <c r="U67">
        <v>0</v>
      </c>
      <c r="V67">
        <v>0</v>
      </c>
      <c r="W67">
        <v>1.6</v>
      </c>
      <c r="X67">
        <v>1.3</v>
      </c>
      <c r="Y67">
        <v>1.8</v>
      </c>
      <c r="Z67">
        <v>3.8</v>
      </c>
      <c r="AA67">
        <v>3.8</v>
      </c>
      <c r="AB67">
        <v>5.4</v>
      </c>
    </row>
    <row r="68" spans="1:28" x14ac:dyDescent="0.25">
      <c r="A68">
        <v>67</v>
      </c>
      <c r="B68" t="s">
        <v>741</v>
      </c>
      <c r="C68" t="s">
        <v>10</v>
      </c>
      <c r="D68">
        <v>3.7</v>
      </c>
      <c r="E68">
        <v>2</v>
      </c>
      <c r="F68">
        <v>28.1</v>
      </c>
      <c r="G68" s="3">
        <f t="shared" si="4"/>
        <v>1</v>
      </c>
      <c r="H68" s="3">
        <f t="shared" si="5"/>
        <v>0</v>
      </c>
      <c r="I68" s="3">
        <f t="shared" si="6"/>
        <v>0</v>
      </c>
      <c r="J68" s="3">
        <f t="shared" si="7"/>
        <v>14</v>
      </c>
      <c r="K68">
        <v>3.7</v>
      </c>
      <c r="L68">
        <v>0</v>
      </c>
      <c r="M68">
        <v>0</v>
      </c>
      <c r="N68">
        <v>0</v>
      </c>
      <c r="O68">
        <v>4.5999999999999996</v>
      </c>
      <c r="P68">
        <v>1.7</v>
      </c>
      <c r="Q68">
        <v>0</v>
      </c>
      <c r="R68">
        <v>1.5</v>
      </c>
      <c r="S68" t="s">
        <v>7</v>
      </c>
      <c r="T68">
        <v>10.3</v>
      </c>
      <c r="U68">
        <v>0</v>
      </c>
      <c r="V68">
        <v>1.9</v>
      </c>
      <c r="W68">
        <v>1.8</v>
      </c>
      <c r="X68">
        <v>2.6</v>
      </c>
      <c r="Y68">
        <v>0</v>
      </c>
      <c r="Z68" t="s">
        <v>8</v>
      </c>
      <c r="AA68" t="s">
        <v>8</v>
      </c>
      <c r="AB68" t="s">
        <v>8</v>
      </c>
    </row>
    <row r="69" spans="1:28" x14ac:dyDescent="0.25">
      <c r="A69">
        <v>68</v>
      </c>
      <c r="B69" t="s">
        <v>742</v>
      </c>
      <c r="C69" t="s">
        <v>64</v>
      </c>
      <c r="D69">
        <v>0</v>
      </c>
      <c r="E69">
        <v>1.6</v>
      </c>
      <c r="F69">
        <v>26.5</v>
      </c>
      <c r="G69" s="3">
        <f t="shared" si="4"/>
        <v>1</v>
      </c>
      <c r="H69" s="3">
        <f t="shared" si="5"/>
        <v>0</v>
      </c>
      <c r="I69" s="3">
        <f t="shared" si="6"/>
        <v>0</v>
      </c>
      <c r="J69" s="3">
        <f t="shared" si="7"/>
        <v>17</v>
      </c>
      <c r="K69">
        <v>0</v>
      </c>
      <c r="L69">
        <v>7.1</v>
      </c>
      <c r="M69">
        <v>0</v>
      </c>
      <c r="N69">
        <v>0</v>
      </c>
      <c r="O69">
        <v>0</v>
      </c>
      <c r="P69">
        <v>0</v>
      </c>
      <c r="Q69" t="s">
        <v>7</v>
      </c>
      <c r="R69">
        <v>2.2999999999999998</v>
      </c>
      <c r="S69">
        <v>1</v>
      </c>
      <c r="T69">
        <v>0</v>
      </c>
      <c r="U69">
        <v>10.3</v>
      </c>
      <c r="V69">
        <v>2.2000000000000002</v>
      </c>
      <c r="W69">
        <v>2.2000000000000002</v>
      </c>
      <c r="X69">
        <v>0</v>
      </c>
      <c r="Y69">
        <v>0</v>
      </c>
      <c r="Z69">
        <v>1.4</v>
      </c>
      <c r="AA69">
        <v>0</v>
      </c>
      <c r="AB69">
        <v>0</v>
      </c>
    </row>
    <row r="70" spans="1:28" x14ac:dyDescent="0.25">
      <c r="A70">
        <v>69</v>
      </c>
      <c r="B70" t="s">
        <v>743</v>
      </c>
      <c r="C70" t="s">
        <v>90</v>
      </c>
      <c r="D70">
        <v>0</v>
      </c>
      <c r="E70">
        <v>1.5</v>
      </c>
      <c r="F70">
        <v>26</v>
      </c>
      <c r="G70" s="3">
        <f t="shared" si="4"/>
        <v>0</v>
      </c>
      <c r="H70" s="3">
        <f t="shared" si="5"/>
        <v>0</v>
      </c>
      <c r="I70" s="3">
        <f t="shared" si="6"/>
        <v>0</v>
      </c>
      <c r="J70" s="3">
        <f t="shared" si="7"/>
        <v>17</v>
      </c>
      <c r="K70">
        <v>0</v>
      </c>
      <c r="L70">
        <v>0</v>
      </c>
      <c r="M70">
        <v>2</v>
      </c>
      <c r="N70">
        <v>0</v>
      </c>
      <c r="O70">
        <v>3.2</v>
      </c>
      <c r="P70">
        <v>1.9</v>
      </c>
      <c r="Q70">
        <v>0</v>
      </c>
      <c r="R70">
        <v>1.3</v>
      </c>
      <c r="S70">
        <v>0</v>
      </c>
      <c r="T70">
        <v>0</v>
      </c>
      <c r="U70" t="s">
        <v>8</v>
      </c>
      <c r="V70">
        <v>0</v>
      </c>
      <c r="W70">
        <v>9</v>
      </c>
      <c r="X70">
        <v>3.5</v>
      </c>
      <c r="Y70">
        <v>0</v>
      </c>
      <c r="Z70">
        <v>0</v>
      </c>
      <c r="AA70">
        <v>2.4</v>
      </c>
      <c r="AB70">
        <v>2.7</v>
      </c>
    </row>
    <row r="71" spans="1:28" x14ac:dyDescent="0.25">
      <c r="A71">
        <v>70</v>
      </c>
      <c r="B71" t="s">
        <v>744</v>
      </c>
      <c r="C71" t="s">
        <v>20</v>
      </c>
      <c r="D71">
        <v>0</v>
      </c>
      <c r="E71">
        <v>1.7</v>
      </c>
      <c r="F71">
        <v>25.5</v>
      </c>
      <c r="G71" s="3">
        <f t="shared" si="4"/>
        <v>1</v>
      </c>
      <c r="H71" s="3">
        <f t="shared" si="5"/>
        <v>0</v>
      </c>
      <c r="I71" s="3">
        <f t="shared" si="6"/>
        <v>0</v>
      </c>
      <c r="J71" s="3">
        <f t="shared" si="7"/>
        <v>15</v>
      </c>
      <c r="K71">
        <v>0</v>
      </c>
      <c r="L71" t="s">
        <v>8</v>
      </c>
      <c r="M71" t="s">
        <v>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7</v>
      </c>
      <c r="U71">
        <v>0</v>
      </c>
      <c r="V71">
        <v>1.6</v>
      </c>
      <c r="W71">
        <v>0</v>
      </c>
      <c r="X71">
        <v>15</v>
      </c>
      <c r="Y71">
        <v>2.4</v>
      </c>
      <c r="Z71">
        <v>0</v>
      </c>
      <c r="AA71">
        <v>0</v>
      </c>
      <c r="AB71">
        <v>6.5</v>
      </c>
    </row>
    <row r="72" spans="1:28" x14ac:dyDescent="0.25">
      <c r="A72">
        <v>71</v>
      </c>
      <c r="B72" t="s">
        <v>745</v>
      </c>
      <c r="C72" t="s">
        <v>36</v>
      </c>
      <c r="D72" t="s">
        <v>8</v>
      </c>
      <c r="E72">
        <v>2.2000000000000002</v>
      </c>
      <c r="F72">
        <v>24.5</v>
      </c>
      <c r="G72" s="3">
        <f t="shared" si="4"/>
        <v>0</v>
      </c>
      <c r="H72" s="3">
        <f t="shared" si="5"/>
        <v>0</v>
      </c>
      <c r="I72" s="3">
        <f t="shared" si="6"/>
        <v>0</v>
      </c>
      <c r="J72" s="3">
        <f t="shared" si="7"/>
        <v>11</v>
      </c>
      <c r="K72" t="s">
        <v>8</v>
      </c>
      <c r="L72" t="s">
        <v>8</v>
      </c>
      <c r="M72" t="s">
        <v>8</v>
      </c>
      <c r="N72" t="s">
        <v>8</v>
      </c>
      <c r="O72" t="s">
        <v>8</v>
      </c>
      <c r="P72">
        <v>0</v>
      </c>
      <c r="Q72" t="s">
        <v>7</v>
      </c>
      <c r="R72">
        <v>2.2999999999999998</v>
      </c>
      <c r="S72">
        <v>6.8</v>
      </c>
      <c r="T72" t="s">
        <v>8</v>
      </c>
      <c r="U72">
        <v>3</v>
      </c>
      <c r="V72">
        <v>2.2999999999999998</v>
      </c>
      <c r="W72">
        <v>2.6</v>
      </c>
      <c r="X72">
        <v>0</v>
      </c>
      <c r="Y72">
        <v>2.4</v>
      </c>
      <c r="Z72">
        <v>5.0999999999999996</v>
      </c>
      <c r="AA72">
        <v>0</v>
      </c>
      <c r="AB72">
        <v>0</v>
      </c>
    </row>
    <row r="73" spans="1:28" x14ac:dyDescent="0.25">
      <c r="A73">
        <v>72</v>
      </c>
      <c r="B73" t="s">
        <v>746</v>
      </c>
      <c r="C73" t="s">
        <v>47</v>
      </c>
      <c r="D73">
        <v>0</v>
      </c>
      <c r="E73">
        <v>2.2000000000000002</v>
      </c>
      <c r="F73">
        <v>24.4</v>
      </c>
      <c r="G73" s="3">
        <f t="shared" si="4"/>
        <v>1</v>
      </c>
      <c r="H73" s="3">
        <f t="shared" si="5"/>
        <v>0</v>
      </c>
      <c r="I73" s="3">
        <f t="shared" si="6"/>
        <v>0</v>
      </c>
      <c r="J73" s="3">
        <f t="shared" si="7"/>
        <v>11</v>
      </c>
      <c r="K73">
        <v>0</v>
      </c>
      <c r="L73">
        <v>0</v>
      </c>
      <c r="M73">
        <v>0</v>
      </c>
      <c r="N73">
        <v>10.6</v>
      </c>
      <c r="O73">
        <v>1.7</v>
      </c>
      <c r="P73">
        <v>2.1</v>
      </c>
      <c r="Q73" t="s">
        <v>7</v>
      </c>
      <c r="R73" t="s">
        <v>8</v>
      </c>
      <c r="S73">
        <v>0</v>
      </c>
      <c r="T73">
        <v>3.6</v>
      </c>
      <c r="U73">
        <v>1.7</v>
      </c>
      <c r="V73">
        <v>2.1</v>
      </c>
      <c r="W73">
        <v>2.6</v>
      </c>
      <c r="X73" t="s">
        <v>8</v>
      </c>
      <c r="Y73" t="s">
        <v>8</v>
      </c>
      <c r="Z73" t="s">
        <v>8</v>
      </c>
      <c r="AA73" t="s">
        <v>8</v>
      </c>
      <c r="AB73" t="s">
        <v>8</v>
      </c>
    </row>
    <row r="74" spans="1:28" x14ac:dyDescent="0.25">
      <c r="A74">
        <v>73</v>
      </c>
      <c r="B74" t="s">
        <v>747</v>
      </c>
      <c r="C74" t="s">
        <v>50</v>
      </c>
      <c r="D74" t="s">
        <v>8</v>
      </c>
      <c r="E74">
        <v>3.4</v>
      </c>
      <c r="F74">
        <v>23.5</v>
      </c>
      <c r="G74" s="3">
        <f t="shared" si="4"/>
        <v>1</v>
      </c>
      <c r="H74" s="3">
        <f t="shared" si="5"/>
        <v>0</v>
      </c>
      <c r="I74" s="3">
        <f t="shared" si="6"/>
        <v>0</v>
      </c>
      <c r="J74" s="3">
        <f t="shared" si="7"/>
        <v>7</v>
      </c>
      <c r="K74" t="s">
        <v>8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  <c r="Q74" t="s">
        <v>8</v>
      </c>
      <c r="R74" t="s">
        <v>8</v>
      </c>
      <c r="S74" t="s">
        <v>7</v>
      </c>
      <c r="T74">
        <v>0</v>
      </c>
      <c r="U74" t="s">
        <v>8</v>
      </c>
      <c r="V74" t="s">
        <v>8</v>
      </c>
      <c r="W74">
        <v>0</v>
      </c>
      <c r="X74">
        <v>4.5</v>
      </c>
      <c r="Y74">
        <v>2.8</v>
      </c>
      <c r="Z74">
        <v>12.8</v>
      </c>
      <c r="AA74">
        <v>3.4</v>
      </c>
      <c r="AB74">
        <v>0</v>
      </c>
    </row>
    <row r="75" spans="1:28" x14ac:dyDescent="0.25">
      <c r="A75">
        <v>74</v>
      </c>
      <c r="B75" t="s">
        <v>748</v>
      </c>
      <c r="C75" t="s">
        <v>60</v>
      </c>
      <c r="D75">
        <v>2.7</v>
      </c>
      <c r="E75">
        <v>1.9</v>
      </c>
      <c r="F75">
        <v>23</v>
      </c>
      <c r="G75" s="3">
        <f t="shared" si="4"/>
        <v>0</v>
      </c>
      <c r="H75" s="3">
        <f t="shared" si="5"/>
        <v>0</v>
      </c>
      <c r="I75" s="3">
        <f t="shared" si="6"/>
        <v>0</v>
      </c>
      <c r="J75" s="3">
        <f t="shared" si="7"/>
        <v>12</v>
      </c>
      <c r="K75">
        <v>2.7</v>
      </c>
      <c r="L75">
        <v>4.0999999999999996</v>
      </c>
      <c r="M75">
        <v>7.5</v>
      </c>
      <c r="N75">
        <v>0</v>
      </c>
      <c r="O75">
        <v>1.9</v>
      </c>
      <c r="P75">
        <v>0</v>
      </c>
      <c r="Q75">
        <v>0</v>
      </c>
      <c r="R75" t="s">
        <v>8</v>
      </c>
      <c r="S75">
        <v>0</v>
      </c>
      <c r="T75" t="s">
        <v>8</v>
      </c>
      <c r="U75">
        <v>1.7</v>
      </c>
      <c r="V75">
        <v>3.9</v>
      </c>
      <c r="W75">
        <v>1.2</v>
      </c>
      <c r="X75" t="s">
        <v>7</v>
      </c>
      <c r="Y75" t="s">
        <v>8</v>
      </c>
      <c r="Z75">
        <v>0</v>
      </c>
      <c r="AA75" t="s">
        <v>8</v>
      </c>
      <c r="AB75" t="s">
        <v>8</v>
      </c>
    </row>
    <row r="76" spans="1:28" x14ac:dyDescent="0.25">
      <c r="A76">
        <v>75</v>
      </c>
      <c r="B76" t="s">
        <v>749</v>
      </c>
      <c r="C76" t="s">
        <v>62</v>
      </c>
      <c r="D76">
        <v>0</v>
      </c>
      <c r="E76">
        <v>1.4</v>
      </c>
      <c r="F76">
        <v>22.2</v>
      </c>
      <c r="G76" s="3">
        <f t="shared" si="4"/>
        <v>0</v>
      </c>
      <c r="H76" s="3">
        <f t="shared" si="5"/>
        <v>0</v>
      </c>
      <c r="I76" s="3">
        <f t="shared" si="6"/>
        <v>0</v>
      </c>
      <c r="J76" s="3">
        <f t="shared" si="7"/>
        <v>16</v>
      </c>
      <c r="K76">
        <v>0</v>
      </c>
      <c r="L76">
        <v>0</v>
      </c>
      <c r="M76" t="s">
        <v>8</v>
      </c>
      <c r="N76">
        <v>3.8</v>
      </c>
      <c r="O76">
        <v>3</v>
      </c>
      <c r="P76">
        <v>2.1</v>
      </c>
      <c r="Q76">
        <v>0</v>
      </c>
      <c r="R76">
        <v>1.8</v>
      </c>
      <c r="S76">
        <v>2.1</v>
      </c>
      <c r="T76">
        <v>0</v>
      </c>
      <c r="U76">
        <v>0</v>
      </c>
      <c r="V76">
        <v>0</v>
      </c>
      <c r="W76" t="s">
        <v>8</v>
      </c>
      <c r="X76">
        <v>0</v>
      </c>
      <c r="Y76">
        <v>0</v>
      </c>
      <c r="Z76">
        <v>2.4</v>
      </c>
      <c r="AA76">
        <v>7</v>
      </c>
      <c r="AB76">
        <v>0</v>
      </c>
    </row>
    <row r="77" spans="1:28" x14ac:dyDescent="0.25">
      <c r="A77">
        <v>76</v>
      </c>
      <c r="B77" t="s">
        <v>750</v>
      </c>
      <c r="C77" t="s">
        <v>12</v>
      </c>
      <c r="D77">
        <v>0</v>
      </c>
      <c r="E77">
        <v>1.6</v>
      </c>
      <c r="F77">
        <v>21.7</v>
      </c>
      <c r="G77" s="3">
        <f t="shared" si="4"/>
        <v>0</v>
      </c>
      <c r="H77" s="3">
        <f t="shared" si="5"/>
        <v>0</v>
      </c>
      <c r="I77" s="3">
        <f t="shared" si="6"/>
        <v>0</v>
      </c>
      <c r="J77" s="3">
        <f t="shared" si="7"/>
        <v>14</v>
      </c>
      <c r="K77">
        <v>0</v>
      </c>
      <c r="L77" t="s">
        <v>8</v>
      </c>
      <c r="M77" t="s">
        <v>8</v>
      </c>
      <c r="N77">
        <v>0</v>
      </c>
      <c r="O77" t="s">
        <v>8</v>
      </c>
      <c r="P77">
        <v>0</v>
      </c>
      <c r="Q77">
        <v>0</v>
      </c>
      <c r="R77">
        <v>0</v>
      </c>
      <c r="S77">
        <v>0</v>
      </c>
      <c r="T77">
        <v>0</v>
      </c>
      <c r="U77">
        <v>2.2999999999999998</v>
      </c>
      <c r="V77">
        <v>0</v>
      </c>
      <c r="W77" t="s">
        <v>7</v>
      </c>
      <c r="X77">
        <v>0</v>
      </c>
      <c r="Y77">
        <v>2.5</v>
      </c>
      <c r="Z77">
        <v>2.7</v>
      </c>
      <c r="AA77">
        <v>8.9</v>
      </c>
      <c r="AB77">
        <v>5.3</v>
      </c>
    </row>
    <row r="78" spans="1:28" x14ac:dyDescent="0.25">
      <c r="A78">
        <v>77</v>
      </c>
      <c r="B78" t="s">
        <v>751</v>
      </c>
      <c r="C78" t="s">
        <v>90</v>
      </c>
      <c r="D78" t="s">
        <v>8</v>
      </c>
      <c r="E78">
        <v>2</v>
      </c>
      <c r="F78">
        <v>19.8</v>
      </c>
      <c r="G78" s="3">
        <f t="shared" si="4"/>
        <v>0</v>
      </c>
      <c r="H78" s="3">
        <f t="shared" si="5"/>
        <v>0</v>
      </c>
      <c r="I78" s="3">
        <f t="shared" si="6"/>
        <v>0</v>
      </c>
      <c r="J78" s="3">
        <f t="shared" si="7"/>
        <v>10</v>
      </c>
      <c r="K78" t="s">
        <v>8</v>
      </c>
      <c r="L78" t="s">
        <v>8</v>
      </c>
      <c r="M78">
        <v>1.9</v>
      </c>
      <c r="N78">
        <v>7.1</v>
      </c>
      <c r="O78">
        <v>3.2</v>
      </c>
      <c r="P78">
        <v>0</v>
      </c>
      <c r="Q78" t="s">
        <v>8</v>
      </c>
      <c r="R78">
        <v>2.9</v>
      </c>
      <c r="S78">
        <v>3.1</v>
      </c>
      <c r="T78">
        <v>1.6</v>
      </c>
      <c r="U78">
        <v>0</v>
      </c>
      <c r="V78">
        <v>0</v>
      </c>
      <c r="W78">
        <v>0</v>
      </c>
      <c r="X78" t="s">
        <v>8</v>
      </c>
      <c r="Y78" t="s">
        <v>8</v>
      </c>
      <c r="Z78" t="s">
        <v>8</v>
      </c>
      <c r="AA78" t="s">
        <v>8</v>
      </c>
      <c r="AB78" t="s">
        <v>8</v>
      </c>
    </row>
    <row r="79" spans="1:28" x14ac:dyDescent="0.25">
      <c r="A79">
        <v>78</v>
      </c>
      <c r="B79" t="s">
        <v>752</v>
      </c>
      <c r="C79" t="s">
        <v>90</v>
      </c>
      <c r="D79">
        <v>0</v>
      </c>
      <c r="E79">
        <v>1.4</v>
      </c>
      <c r="F79">
        <v>19.399999999999999</v>
      </c>
      <c r="G79" s="3">
        <f t="shared" si="4"/>
        <v>0</v>
      </c>
      <c r="H79" s="3">
        <f t="shared" si="5"/>
        <v>0</v>
      </c>
      <c r="I79" s="3">
        <f t="shared" si="6"/>
        <v>0</v>
      </c>
      <c r="J79" s="3">
        <f t="shared" si="7"/>
        <v>14</v>
      </c>
      <c r="K79">
        <v>0</v>
      </c>
      <c r="L79">
        <v>0</v>
      </c>
      <c r="M79">
        <v>0</v>
      </c>
      <c r="N79">
        <v>0</v>
      </c>
      <c r="O79">
        <v>4.2</v>
      </c>
      <c r="P79">
        <v>0</v>
      </c>
      <c r="Q79">
        <v>1.8</v>
      </c>
      <c r="R79">
        <v>0</v>
      </c>
      <c r="S79">
        <v>0</v>
      </c>
      <c r="T79">
        <v>3.3</v>
      </c>
      <c r="U79">
        <v>3.5</v>
      </c>
      <c r="V79">
        <v>0</v>
      </c>
      <c r="W79">
        <v>3</v>
      </c>
      <c r="X79" t="s">
        <v>8</v>
      </c>
      <c r="Y79">
        <v>3.6</v>
      </c>
      <c r="Z79" t="s">
        <v>8</v>
      </c>
      <c r="AA79" t="s">
        <v>8</v>
      </c>
      <c r="AB79" t="s">
        <v>8</v>
      </c>
    </row>
    <row r="80" spans="1:28" x14ac:dyDescent="0.25">
      <c r="A80">
        <v>79</v>
      </c>
      <c r="B80" t="s">
        <v>753</v>
      </c>
      <c r="C80" t="s">
        <v>90</v>
      </c>
      <c r="D80">
        <v>0</v>
      </c>
      <c r="E80">
        <v>0.9</v>
      </c>
      <c r="F80">
        <v>14.6</v>
      </c>
      <c r="G80" s="3">
        <f t="shared" si="4"/>
        <v>0</v>
      </c>
      <c r="H80" s="3">
        <f t="shared" si="5"/>
        <v>0</v>
      </c>
      <c r="I80" s="3">
        <f t="shared" si="6"/>
        <v>0</v>
      </c>
      <c r="J80" s="3">
        <f t="shared" si="7"/>
        <v>16</v>
      </c>
      <c r="K80">
        <v>0</v>
      </c>
      <c r="L80" t="s">
        <v>8</v>
      </c>
      <c r="M80">
        <v>3</v>
      </c>
      <c r="N80">
        <v>1.7</v>
      </c>
      <c r="O80">
        <v>0</v>
      </c>
      <c r="P80">
        <v>0</v>
      </c>
      <c r="Q80" t="s">
        <v>8</v>
      </c>
      <c r="R80">
        <v>0</v>
      </c>
      <c r="S80">
        <v>0</v>
      </c>
      <c r="T80">
        <v>0</v>
      </c>
      <c r="U80">
        <v>0</v>
      </c>
      <c r="V80">
        <v>1.1000000000000001</v>
      </c>
      <c r="W80">
        <v>2.2000000000000002</v>
      </c>
      <c r="X80">
        <v>1</v>
      </c>
      <c r="Y80">
        <v>4</v>
      </c>
      <c r="Z80">
        <v>1.6</v>
      </c>
      <c r="AA80">
        <v>0</v>
      </c>
      <c r="AB80">
        <v>0</v>
      </c>
    </row>
    <row r="81" spans="1:28" x14ac:dyDescent="0.25">
      <c r="A81">
        <v>80</v>
      </c>
      <c r="B81" t="s">
        <v>754</v>
      </c>
      <c r="C81" t="s">
        <v>28</v>
      </c>
      <c r="D81">
        <v>0</v>
      </c>
      <c r="E81">
        <v>1</v>
      </c>
      <c r="F81">
        <v>14.5</v>
      </c>
      <c r="G81" s="3">
        <f t="shared" si="4"/>
        <v>0</v>
      </c>
      <c r="H81" s="3">
        <f t="shared" si="5"/>
        <v>0</v>
      </c>
      <c r="I81" s="3">
        <f t="shared" si="6"/>
        <v>0</v>
      </c>
      <c r="J81" s="3">
        <f t="shared" si="7"/>
        <v>15</v>
      </c>
      <c r="K81">
        <v>0</v>
      </c>
      <c r="L81">
        <v>2.5</v>
      </c>
      <c r="M81">
        <v>0</v>
      </c>
      <c r="N81">
        <v>7.4</v>
      </c>
      <c r="O81">
        <v>2.9</v>
      </c>
      <c r="P81" t="s">
        <v>8</v>
      </c>
      <c r="Q81">
        <v>0</v>
      </c>
      <c r="R81">
        <v>0</v>
      </c>
      <c r="S81">
        <v>1.7</v>
      </c>
      <c r="T81">
        <v>0</v>
      </c>
      <c r="U81">
        <v>0</v>
      </c>
      <c r="V81" t="s">
        <v>8</v>
      </c>
      <c r="W81" t="s">
        <v>8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>
        <v>81</v>
      </c>
      <c r="B82" t="s">
        <v>755</v>
      </c>
      <c r="C82" t="s">
        <v>66</v>
      </c>
      <c r="D82">
        <v>0</v>
      </c>
      <c r="E82">
        <v>1</v>
      </c>
      <c r="F82">
        <v>14.5</v>
      </c>
      <c r="G82" s="3">
        <f t="shared" si="4"/>
        <v>1</v>
      </c>
      <c r="H82" s="3">
        <f t="shared" si="5"/>
        <v>0</v>
      </c>
      <c r="I82" s="3">
        <f t="shared" si="6"/>
        <v>0</v>
      </c>
      <c r="J82" s="3">
        <f t="shared" si="7"/>
        <v>14</v>
      </c>
      <c r="K82">
        <v>0</v>
      </c>
      <c r="L82">
        <v>0</v>
      </c>
      <c r="M82">
        <v>2.7</v>
      </c>
      <c r="N82">
        <v>0</v>
      </c>
      <c r="O82">
        <v>0</v>
      </c>
      <c r="P82">
        <v>10.7</v>
      </c>
      <c r="Q82">
        <v>0</v>
      </c>
      <c r="R82">
        <v>0</v>
      </c>
      <c r="S82" t="s">
        <v>7</v>
      </c>
      <c r="T82">
        <v>0</v>
      </c>
      <c r="U82">
        <v>0</v>
      </c>
      <c r="V82">
        <v>0</v>
      </c>
      <c r="W82" t="s">
        <v>8</v>
      </c>
      <c r="X82" t="s">
        <v>8</v>
      </c>
      <c r="Y82" t="s">
        <v>8</v>
      </c>
      <c r="Z82">
        <v>0</v>
      </c>
      <c r="AA82">
        <v>1.1000000000000001</v>
      </c>
      <c r="AB82">
        <v>0</v>
      </c>
    </row>
    <row r="83" spans="1:28" x14ac:dyDescent="0.25">
      <c r="A83">
        <v>82</v>
      </c>
      <c r="B83" t="s">
        <v>756</v>
      </c>
      <c r="C83" t="s">
        <v>78</v>
      </c>
      <c r="D83">
        <v>0</v>
      </c>
      <c r="E83">
        <v>0.8</v>
      </c>
      <c r="F83">
        <v>13.1</v>
      </c>
      <c r="G83" s="3">
        <f t="shared" si="4"/>
        <v>0</v>
      </c>
      <c r="H83" s="3">
        <f t="shared" si="5"/>
        <v>0</v>
      </c>
      <c r="I83" s="3">
        <f t="shared" si="6"/>
        <v>0</v>
      </c>
      <c r="J83" s="3">
        <f t="shared" si="7"/>
        <v>17</v>
      </c>
      <c r="K83">
        <v>0</v>
      </c>
      <c r="L83">
        <v>0</v>
      </c>
      <c r="M83">
        <v>0</v>
      </c>
      <c r="N83">
        <v>2</v>
      </c>
      <c r="O83">
        <v>0</v>
      </c>
      <c r="P83" t="s">
        <v>7</v>
      </c>
      <c r="Q83">
        <v>0</v>
      </c>
      <c r="R83">
        <v>0</v>
      </c>
      <c r="S83">
        <v>1.7</v>
      </c>
      <c r="T83">
        <v>1.6</v>
      </c>
      <c r="U83">
        <v>1.8</v>
      </c>
      <c r="V83">
        <v>2</v>
      </c>
      <c r="W83">
        <v>0</v>
      </c>
      <c r="X83">
        <v>2.2000000000000002</v>
      </c>
      <c r="Y83">
        <v>0</v>
      </c>
      <c r="Z83">
        <v>1.8</v>
      </c>
      <c r="AA83">
        <v>0</v>
      </c>
      <c r="AB83">
        <v>0</v>
      </c>
    </row>
    <row r="84" spans="1:28" x14ac:dyDescent="0.25">
      <c r="A84">
        <v>83</v>
      </c>
      <c r="B84" t="s">
        <v>757</v>
      </c>
      <c r="C84" t="s">
        <v>90</v>
      </c>
      <c r="D84">
        <v>0</v>
      </c>
      <c r="E84">
        <v>0.9</v>
      </c>
      <c r="F84">
        <v>12.9</v>
      </c>
      <c r="G84" s="3">
        <f t="shared" si="4"/>
        <v>0</v>
      </c>
      <c r="H84" s="3">
        <f t="shared" si="5"/>
        <v>0</v>
      </c>
      <c r="I84" s="3">
        <f t="shared" si="6"/>
        <v>0</v>
      </c>
      <c r="J84" s="3">
        <f t="shared" si="7"/>
        <v>15</v>
      </c>
      <c r="K84">
        <v>0</v>
      </c>
      <c r="L84" t="s">
        <v>8</v>
      </c>
      <c r="M84" t="s">
        <v>8</v>
      </c>
      <c r="N84">
        <v>1.8</v>
      </c>
      <c r="O84">
        <v>0</v>
      </c>
      <c r="P84">
        <v>0</v>
      </c>
      <c r="Q84">
        <v>2.6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8</v>
      </c>
      <c r="X84">
        <v>1.4</v>
      </c>
      <c r="Y84">
        <v>0</v>
      </c>
      <c r="Z84">
        <v>7.1</v>
      </c>
      <c r="AA84">
        <v>0</v>
      </c>
      <c r="AB84">
        <v>0</v>
      </c>
    </row>
    <row r="85" spans="1:28" x14ac:dyDescent="0.25">
      <c r="A85">
        <v>84</v>
      </c>
      <c r="B85" t="s">
        <v>758</v>
      </c>
      <c r="C85" t="s">
        <v>90</v>
      </c>
      <c r="D85">
        <v>3.1</v>
      </c>
      <c r="E85">
        <v>0.9</v>
      </c>
      <c r="F85">
        <v>12.8</v>
      </c>
      <c r="G85" s="3">
        <f t="shared" si="4"/>
        <v>0</v>
      </c>
      <c r="H85" s="3">
        <f t="shared" si="5"/>
        <v>0</v>
      </c>
      <c r="I85" s="3">
        <f t="shared" si="6"/>
        <v>0</v>
      </c>
      <c r="J85" s="3">
        <f t="shared" si="7"/>
        <v>14</v>
      </c>
      <c r="K85">
        <v>3.1</v>
      </c>
      <c r="L85">
        <v>0</v>
      </c>
      <c r="M85" t="s">
        <v>8</v>
      </c>
      <c r="N85">
        <v>1.5</v>
      </c>
      <c r="O85">
        <v>0</v>
      </c>
      <c r="P85">
        <v>0</v>
      </c>
      <c r="Q85">
        <v>1.5</v>
      </c>
      <c r="R85">
        <v>0</v>
      </c>
      <c r="S85">
        <v>0</v>
      </c>
      <c r="T85" t="s">
        <v>8</v>
      </c>
      <c r="U85">
        <v>0</v>
      </c>
      <c r="V85" t="s">
        <v>8</v>
      </c>
      <c r="W85" t="s">
        <v>8</v>
      </c>
      <c r="X85">
        <v>0</v>
      </c>
      <c r="Y85">
        <v>0</v>
      </c>
      <c r="Z85">
        <v>0</v>
      </c>
      <c r="AA85">
        <v>0</v>
      </c>
      <c r="AB85">
        <v>6.7</v>
      </c>
    </row>
    <row r="86" spans="1:28" x14ac:dyDescent="0.25">
      <c r="A86">
        <v>85</v>
      </c>
      <c r="B86" t="s">
        <v>759</v>
      </c>
      <c r="C86" t="s">
        <v>16</v>
      </c>
      <c r="D86">
        <v>0</v>
      </c>
      <c r="E86">
        <v>0.8</v>
      </c>
      <c r="F86">
        <v>12.1</v>
      </c>
      <c r="G86" s="3">
        <f t="shared" si="4"/>
        <v>0</v>
      </c>
      <c r="H86" s="3">
        <f t="shared" si="5"/>
        <v>0</v>
      </c>
      <c r="I86" s="3">
        <f t="shared" si="6"/>
        <v>0</v>
      </c>
      <c r="J86" s="3">
        <f t="shared" si="7"/>
        <v>16</v>
      </c>
      <c r="K86">
        <v>0</v>
      </c>
      <c r="L86">
        <v>0</v>
      </c>
      <c r="M86">
        <v>0</v>
      </c>
      <c r="N86">
        <v>0</v>
      </c>
      <c r="O86">
        <v>2.2000000000000002</v>
      </c>
      <c r="P86" t="s">
        <v>7</v>
      </c>
      <c r="Q86">
        <v>1.2</v>
      </c>
      <c r="R86">
        <v>0</v>
      </c>
      <c r="S86">
        <v>0</v>
      </c>
      <c r="T86" t="s">
        <v>8</v>
      </c>
      <c r="U86">
        <v>0</v>
      </c>
      <c r="V86">
        <v>0</v>
      </c>
      <c r="W86">
        <v>7.1</v>
      </c>
      <c r="X86">
        <v>0</v>
      </c>
      <c r="Y86">
        <v>0</v>
      </c>
      <c r="Z86">
        <v>0</v>
      </c>
      <c r="AA86">
        <v>1.6</v>
      </c>
      <c r="AB86">
        <v>0</v>
      </c>
    </row>
    <row r="87" spans="1:28" x14ac:dyDescent="0.25">
      <c r="A87">
        <v>86</v>
      </c>
      <c r="B87" t="s">
        <v>760</v>
      </c>
      <c r="C87" t="s">
        <v>90</v>
      </c>
      <c r="D87">
        <v>9.1999999999999993</v>
      </c>
      <c r="E87">
        <v>0.8</v>
      </c>
      <c r="F87">
        <v>11.6</v>
      </c>
      <c r="G87" s="3">
        <f t="shared" si="4"/>
        <v>0</v>
      </c>
      <c r="H87" s="3">
        <f t="shared" si="5"/>
        <v>0</v>
      </c>
      <c r="I87" s="3">
        <f t="shared" si="6"/>
        <v>0</v>
      </c>
      <c r="J87" s="3">
        <f t="shared" si="7"/>
        <v>14</v>
      </c>
      <c r="K87">
        <v>9.1999999999999993</v>
      </c>
      <c r="L87" t="s">
        <v>8</v>
      </c>
      <c r="M87" t="s">
        <v>8</v>
      </c>
      <c r="N87" t="s">
        <v>8</v>
      </c>
      <c r="O87">
        <v>0</v>
      </c>
      <c r="P87">
        <v>0</v>
      </c>
      <c r="Q87">
        <v>-0.3</v>
      </c>
      <c r="R87">
        <v>0</v>
      </c>
      <c r="S87">
        <v>0</v>
      </c>
      <c r="T87" t="s">
        <v>8</v>
      </c>
      <c r="U87">
        <v>0</v>
      </c>
      <c r="V87">
        <v>0</v>
      </c>
      <c r="W87">
        <v>0</v>
      </c>
      <c r="X87">
        <v>0</v>
      </c>
      <c r="Y87">
        <v>0</v>
      </c>
      <c r="Z87">
        <v>1.4</v>
      </c>
      <c r="AA87">
        <v>0</v>
      </c>
      <c r="AB87">
        <v>1.3</v>
      </c>
    </row>
    <row r="88" spans="1:28" x14ac:dyDescent="0.25">
      <c r="A88">
        <v>87</v>
      </c>
      <c r="B88" t="s">
        <v>761</v>
      </c>
      <c r="C88" t="s">
        <v>34</v>
      </c>
      <c r="D88" t="s">
        <v>8</v>
      </c>
      <c r="E88">
        <v>0.8</v>
      </c>
      <c r="F88">
        <v>10.8</v>
      </c>
      <c r="G88" s="3">
        <f t="shared" si="4"/>
        <v>0</v>
      </c>
      <c r="H88" s="3">
        <f t="shared" si="5"/>
        <v>0</v>
      </c>
      <c r="I88" s="3">
        <f t="shared" si="6"/>
        <v>0</v>
      </c>
      <c r="J88" s="3">
        <f t="shared" si="7"/>
        <v>13</v>
      </c>
      <c r="K88" t="s">
        <v>8</v>
      </c>
      <c r="L88" t="s">
        <v>8</v>
      </c>
      <c r="M88" t="s">
        <v>8</v>
      </c>
      <c r="N88" t="s">
        <v>8</v>
      </c>
      <c r="O88" t="s">
        <v>7</v>
      </c>
      <c r="P88">
        <v>1.8</v>
      </c>
      <c r="Q88">
        <v>0</v>
      </c>
      <c r="R88">
        <v>0</v>
      </c>
      <c r="S88">
        <v>0</v>
      </c>
      <c r="T88">
        <v>0</v>
      </c>
      <c r="U88">
        <v>3.3</v>
      </c>
      <c r="V88">
        <v>2.2000000000000002</v>
      </c>
      <c r="W88">
        <v>0</v>
      </c>
      <c r="X88">
        <v>0</v>
      </c>
      <c r="Y88">
        <v>0</v>
      </c>
      <c r="Z88">
        <v>3.5</v>
      </c>
      <c r="AA88">
        <v>0</v>
      </c>
      <c r="AB88">
        <v>0</v>
      </c>
    </row>
    <row r="89" spans="1:28" x14ac:dyDescent="0.25">
      <c r="A89">
        <v>88</v>
      </c>
      <c r="B89" t="s">
        <v>762</v>
      </c>
      <c r="C89" t="s">
        <v>97</v>
      </c>
      <c r="D89">
        <v>0</v>
      </c>
      <c r="E89">
        <v>1</v>
      </c>
      <c r="F89">
        <v>10.6</v>
      </c>
      <c r="G89" s="3">
        <f t="shared" si="4"/>
        <v>0</v>
      </c>
      <c r="H89" s="3">
        <f t="shared" si="5"/>
        <v>0</v>
      </c>
      <c r="I89" s="3">
        <f t="shared" si="6"/>
        <v>0</v>
      </c>
      <c r="J89" s="3">
        <f t="shared" si="7"/>
        <v>11</v>
      </c>
      <c r="K89">
        <v>0</v>
      </c>
      <c r="L89" t="s">
        <v>8</v>
      </c>
      <c r="M89">
        <v>1.8</v>
      </c>
      <c r="N89">
        <v>0</v>
      </c>
      <c r="O89">
        <v>3.8</v>
      </c>
      <c r="P89" t="s">
        <v>8</v>
      </c>
      <c r="Q89" t="s">
        <v>8</v>
      </c>
      <c r="R89" t="s">
        <v>8</v>
      </c>
      <c r="S89" t="s">
        <v>8</v>
      </c>
      <c r="T89" t="s">
        <v>8</v>
      </c>
      <c r="U89">
        <v>0</v>
      </c>
      <c r="V89">
        <v>1.9</v>
      </c>
      <c r="W89">
        <v>1.6</v>
      </c>
      <c r="X89">
        <v>0</v>
      </c>
      <c r="Y89" t="s">
        <v>8</v>
      </c>
      <c r="Z89">
        <v>0</v>
      </c>
      <c r="AA89">
        <v>0</v>
      </c>
      <c r="AB89">
        <v>1.5</v>
      </c>
    </row>
    <row r="90" spans="1:28" x14ac:dyDescent="0.25">
      <c r="A90">
        <v>88</v>
      </c>
      <c r="B90" t="s">
        <v>763</v>
      </c>
      <c r="C90" t="s">
        <v>66</v>
      </c>
      <c r="D90" t="s">
        <v>8</v>
      </c>
      <c r="E90">
        <v>1</v>
      </c>
      <c r="F90">
        <v>10.6</v>
      </c>
      <c r="G90" s="3">
        <f t="shared" si="4"/>
        <v>0</v>
      </c>
      <c r="H90" s="3">
        <f t="shared" si="5"/>
        <v>0</v>
      </c>
      <c r="I90" s="3">
        <f t="shared" si="6"/>
        <v>0</v>
      </c>
      <c r="J90" s="3">
        <f t="shared" si="7"/>
        <v>11</v>
      </c>
      <c r="K90" t="s">
        <v>8</v>
      </c>
      <c r="L90" t="s">
        <v>8</v>
      </c>
      <c r="M90" t="s">
        <v>8</v>
      </c>
      <c r="N90" t="s">
        <v>8</v>
      </c>
      <c r="O90">
        <v>0</v>
      </c>
      <c r="P90">
        <v>8.5</v>
      </c>
      <c r="Q90" t="s">
        <v>8</v>
      </c>
      <c r="R90" t="s">
        <v>8</v>
      </c>
      <c r="S90">
        <v>0</v>
      </c>
      <c r="T90">
        <v>0</v>
      </c>
      <c r="U90">
        <v>2.1</v>
      </c>
      <c r="V90">
        <v>0</v>
      </c>
      <c r="W90" t="s">
        <v>8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90</v>
      </c>
      <c r="B91" t="s">
        <v>764</v>
      </c>
      <c r="C91" t="s">
        <v>26</v>
      </c>
      <c r="D91">
        <v>0</v>
      </c>
      <c r="E91">
        <v>0.6</v>
      </c>
      <c r="F91">
        <v>8.8000000000000007</v>
      </c>
      <c r="G91" s="3">
        <f t="shared" si="4"/>
        <v>0</v>
      </c>
      <c r="H91" s="3">
        <f t="shared" si="5"/>
        <v>0</v>
      </c>
      <c r="I91" s="3">
        <f t="shared" si="6"/>
        <v>0</v>
      </c>
      <c r="J91" s="3">
        <f t="shared" si="7"/>
        <v>15</v>
      </c>
      <c r="K91">
        <v>0</v>
      </c>
      <c r="L91" t="s">
        <v>8</v>
      </c>
      <c r="M91">
        <v>1.6</v>
      </c>
      <c r="N91" t="s">
        <v>8</v>
      </c>
      <c r="O91">
        <v>1.4</v>
      </c>
      <c r="P91">
        <v>0</v>
      </c>
      <c r="Q91">
        <v>0</v>
      </c>
      <c r="R91">
        <v>0</v>
      </c>
      <c r="S91">
        <v>0</v>
      </c>
      <c r="T91" t="s">
        <v>8</v>
      </c>
      <c r="U91">
        <v>1.3</v>
      </c>
      <c r="V91">
        <v>2.4</v>
      </c>
      <c r="W91">
        <v>0</v>
      </c>
      <c r="X91">
        <v>0</v>
      </c>
      <c r="Y91">
        <v>0</v>
      </c>
      <c r="Z91">
        <v>0</v>
      </c>
      <c r="AA91">
        <v>0</v>
      </c>
      <c r="AB91">
        <v>2.1</v>
      </c>
    </row>
    <row r="92" spans="1:28" x14ac:dyDescent="0.25">
      <c r="A92">
        <v>91</v>
      </c>
      <c r="B92" t="s">
        <v>765</v>
      </c>
      <c r="C92" t="s">
        <v>18</v>
      </c>
      <c r="D92" t="s">
        <v>8</v>
      </c>
      <c r="E92">
        <v>0.6</v>
      </c>
      <c r="F92">
        <v>8.8000000000000007</v>
      </c>
      <c r="G92" s="3">
        <f t="shared" si="4"/>
        <v>0</v>
      </c>
      <c r="H92" s="3">
        <f t="shared" si="5"/>
        <v>0</v>
      </c>
      <c r="I92" s="3">
        <f t="shared" si="6"/>
        <v>0</v>
      </c>
      <c r="J92" s="3">
        <f t="shared" si="7"/>
        <v>15</v>
      </c>
      <c r="K92" t="s">
        <v>8</v>
      </c>
      <c r="L92" t="s">
        <v>8</v>
      </c>
      <c r="M92">
        <v>0</v>
      </c>
      <c r="N92">
        <v>0</v>
      </c>
      <c r="O92">
        <v>0</v>
      </c>
      <c r="P92">
        <v>0</v>
      </c>
      <c r="Q92">
        <v>0</v>
      </c>
      <c r="R92">
        <v>1.4</v>
      </c>
      <c r="S92">
        <v>0</v>
      </c>
      <c r="T92" t="s">
        <v>7</v>
      </c>
      <c r="U92">
        <v>0</v>
      </c>
      <c r="V92">
        <v>0</v>
      </c>
      <c r="W92">
        <v>4.3</v>
      </c>
      <c r="X92">
        <v>0</v>
      </c>
      <c r="Y92">
        <v>0</v>
      </c>
      <c r="Z92">
        <v>0</v>
      </c>
      <c r="AA92">
        <v>1.9</v>
      </c>
      <c r="AB92">
        <v>1.2</v>
      </c>
    </row>
    <row r="93" spans="1:28" x14ac:dyDescent="0.25">
      <c r="A93">
        <v>92</v>
      </c>
      <c r="B93" t="s">
        <v>766</v>
      </c>
      <c r="C93" t="s">
        <v>6</v>
      </c>
      <c r="D93">
        <v>0</v>
      </c>
      <c r="E93">
        <v>0.6</v>
      </c>
      <c r="F93">
        <v>7.9</v>
      </c>
      <c r="G93" s="3">
        <f t="shared" si="4"/>
        <v>0</v>
      </c>
      <c r="H93" s="3">
        <f t="shared" si="5"/>
        <v>0</v>
      </c>
      <c r="I93" s="3">
        <f t="shared" si="6"/>
        <v>0</v>
      </c>
      <c r="J93" s="3">
        <f t="shared" si="7"/>
        <v>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8</v>
      </c>
      <c r="T93" t="s">
        <v>7</v>
      </c>
      <c r="U93">
        <v>0</v>
      </c>
      <c r="V93" t="s">
        <v>8</v>
      </c>
      <c r="W93">
        <v>0</v>
      </c>
      <c r="X93">
        <v>0</v>
      </c>
      <c r="Y93" t="s">
        <v>8</v>
      </c>
      <c r="Z93">
        <v>4.0999999999999996</v>
      </c>
      <c r="AA93">
        <v>0</v>
      </c>
      <c r="AB93">
        <v>3.8</v>
      </c>
    </row>
    <row r="94" spans="1:28" x14ac:dyDescent="0.25">
      <c r="A94">
        <v>93</v>
      </c>
      <c r="B94" t="s">
        <v>767</v>
      </c>
      <c r="C94" t="s">
        <v>90</v>
      </c>
      <c r="D94">
        <v>0</v>
      </c>
      <c r="E94">
        <v>1</v>
      </c>
      <c r="F94">
        <v>7.8</v>
      </c>
      <c r="G94" s="3">
        <f t="shared" si="4"/>
        <v>0</v>
      </c>
      <c r="H94" s="3">
        <f t="shared" si="5"/>
        <v>0</v>
      </c>
      <c r="I94" s="3">
        <f t="shared" si="6"/>
        <v>0</v>
      </c>
      <c r="J94" s="3">
        <f t="shared" si="7"/>
        <v>8</v>
      </c>
      <c r="K94">
        <v>0</v>
      </c>
      <c r="L94">
        <v>0</v>
      </c>
      <c r="M94">
        <v>1.3</v>
      </c>
      <c r="N94" t="s">
        <v>8</v>
      </c>
      <c r="O94" t="s">
        <v>8</v>
      </c>
      <c r="P94" t="s">
        <v>8</v>
      </c>
      <c r="Q94" t="s">
        <v>8</v>
      </c>
      <c r="R94" t="s">
        <v>8</v>
      </c>
      <c r="S94" t="s">
        <v>8</v>
      </c>
      <c r="T94" t="s">
        <v>8</v>
      </c>
      <c r="U94" t="s">
        <v>8</v>
      </c>
      <c r="V94" t="s">
        <v>8</v>
      </c>
      <c r="W94" t="s">
        <v>8</v>
      </c>
      <c r="X94">
        <v>0</v>
      </c>
      <c r="Y94">
        <v>1.5</v>
      </c>
      <c r="Z94">
        <v>0</v>
      </c>
      <c r="AA94">
        <v>1.6</v>
      </c>
      <c r="AB94">
        <v>3.4</v>
      </c>
    </row>
    <row r="95" spans="1:28" x14ac:dyDescent="0.25">
      <c r="A95">
        <v>94</v>
      </c>
      <c r="B95" t="s">
        <v>768</v>
      </c>
      <c r="C95" t="s">
        <v>34</v>
      </c>
      <c r="D95">
        <v>0</v>
      </c>
      <c r="E95">
        <v>0.5</v>
      </c>
      <c r="F95">
        <v>7.2</v>
      </c>
      <c r="G95" s="3">
        <f t="shared" si="4"/>
        <v>0</v>
      </c>
      <c r="H95" s="3">
        <f t="shared" si="5"/>
        <v>0</v>
      </c>
      <c r="I95" s="3">
        <f t="shared" si="6"/>
        <v>0</v>
      </c>
      <c r="J95" s="3">
        <f t="shared" si="7"/>
        <v>16</v>
      </c>
      <c r="K95">
        <v>0</v>
      </c>
      <c r="L95">
        <v>0</v>
      </c>
      <c r="M95">
        <v>0</v>
      </c>
      <c r="N95">
        <v>0</v>
      </c>
      <c r="O95" t="s">
        <v>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7.2</v>
      </c>
      <c r="Z95">
        <v>0</v>
      </c>
      <c r="AA95" t="s">
        <v>8</v>
      </c>
      <c r="AB95">
        <v>0</v>
      </c>
    </row>
    <row r="96" spans="1:28" x14ac:dyDescent="0.25">
      <c r="A96">
        <v>95</v>
      </c>
      <c r="B96" t="s">
        <v>769</v>
      </c>
      <c r="C96" t="s">
        <v>50</v>
      </c>
      <c r="D96" t="s">
        <v>8</v>
      </c>
      <c r="E96">
        <v>0.6</v>
      </c>
      <c r="F96">
        <v>6.2</v>
      </c>
      <c r="G96" s="3">
        <f t="shared" si="4"/>
        <v>0</v>
      </c>
      <c r="H96" s="3">
        <f t="shared" si="5"/>
        <v>0</v>
      </c>
      <c r="I96" s="3">
        <f t="shared" si="6"/>
        <v>0</v>
      </c>
      <c r="J96" s="3">
        <f t="shared" si="7"/>
        <v>10</v>
      </c>
      <c r="K96" t="s">
        <v>8</v>
      </c>
      <c r="L96">
        <v>0</v>
      </c>
      <c r="M96">
        <v>2.1</v>
      </c>
      <c r="N96">
        <v>2.8</v>
      </c>
      <c r="O96">
        <v>0</v>
      </c>
      <c r="P96" t="s">
        <v>8</v>
      </c>
      <c r="Q96">
        <v>1.3</v>
      </c>
      <c r="R96">
        <v>0</v>
      </c>
      <c r="S96" t="s">
        <v>7</v>
      </c>
      <c r="T96" t="s">
        <v>8</v>
      </c>
      <c r="U96">
        <v>0</v>
      </c>
      <c r="V96">
        <v>0</v>
      </c>
      <c r="W96" t="s">
        <v>8</v>
      </c>
      <c r="X96" t="s">
        <v>8</v>
      </c>
      <c r="Y96" t="s">
        <v>8</v>
      </c>
      <c r="Z96" t="s">
        <v>8</v>
      </c>
      <c r="AA96">
        <v>0</v>
      </c>
      <c r="AB96">
        <v>0</v>
      </c>
    </row>
    <row r="97" spans="1:28" x14ac:dyDescent="0.25">
      <c r="A97">
        <v>95</v>
      </c>
      <c r="B97" t="s">
        <v>770</v>
      </c>
      <c r="C97" t="s">
        <v>14</v>
      </c>
      <c r="D97">
        <v>0</v>
      </c>
      <c r="E97">
        <v>0.4</v>
      </c>
      <c r="F97">
        <v>6.2</v>
      </c>
      <c r="G97" s="3">
        <f t="shared" si="4"/>
        <v>0</v>
      </c>
      <c r="H97" s="3">
        <f t="shared" si="5"/>
        <v>0</v>
      </c>
      <c r="I97" s="3">
        <f t="shared" si="6"/>
        <v>0</v>
      </c>
      <c r="J97" s="3">
        <f t="shared" si="7"/>
        <v>15</v>
      </c>
      <c r="K97">
        <v>0</v>
      </c>
      <c r="L97">
        <v>0</v>
      </c>
      <c r="M97" t="s">
        <v>8</v>
      </c>
      <c r="N97" t="s">
        <v>8</v>
      </c>
      <c r="O97">
        <v>0</v>
      </c>
      <c r="P97">
        <v>0</v>
      </c>
      <c r="Q97">
        <v>0</v>
      </c>
      <c r="R97">
        <v>0</v>
      </c>
      <c r="S97" t="s">
        <v>8</v>
      </c>
      <c r="T97">
        <v>0</v>
      </c>
      <c r="U97">
        <v>0</v>
      </c>
      <c r="V97">
        <v>1.9</v>
      </c>
      <c r="W97">
        <v>0</v>
      </c>
      <c r="X97">
        <v>1.3</v>
      </c>
      <c r="Y97">
        <v>0</v>
      </c>
      <c r="Z97">
        <v>0</v>
      </c>
      <c r="AA97">
        <v>0</v>
      </c>
      <c r="AB97">
        <v>3</v>
      </c>
    </row>
    <row r="98" spans="1:28" x14ac:dyDescent="0.25">
      <c r="A98">
        <v>97</v>
      </c>
      <c r="B98" t="s">
        <v>771</v>
      </c>
      <c r="C98" t="s">
        <v>55</v>
      </c>
      <c r="D98">
        <v>4.2</v>
      </c>
      <c r="E98">
        <v>2.8</v>
      </c>
      <c r="F98">
        <v>5.5</v>
      </c>
      <c r="G98" s="3">
        <f t="shared" si="4"/>
        <v>0</v>
      </c>
      <c r="H98" s="3">
        <f t="shared" si="5"/>
        <v>0</v>
      </c>
      <c r="I98" s="3">
        <f t="shared" si="6"/>
        <v>0</v>
      </c>
      <c r="J98" s="3">
        <f t="shared" si="7"/>
        <v>2</v>
      </c>
      <c r="K98">
        <v>4.2</v>
      </c>
      <c r="L98" t="s">
        <v>8</v>
      </c>
      <c r="M98" t="s">
        <v>8</v>
      </c>
      <c r="N98" t="s">
        <v>8</v>
      </c>
      <c r="O98" t="s">
        <v>8</v>
      </c>
      <c r="P98">
        <v>1.3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 t="s">
        <v>7</v>
      </c>
      <c r="X98" t="s">
        <v>8</v>
      </c>
      <c r="Y98" t="s">
        <v>8</v>
      </c>
      <c r="Z98" t="s">
        <v>8</v>
      </c>
      <c r="AA98" t="s">
        <v>8</v>
      </c>
      <c r="AB98" t="s">
        <v>8</v>
      </c>
    </row>
    <row r="99" spans="1:28" x14ac:dyDescent="0.25">
      <c r="A99">
        <v>98</v>
      </c>
      <c r="B99" t="s">
        <v>772</v>
      </c>
      <c r="C99" t="s">
        <v>14</v>
      </c>
      <c r="D99">
        <v>2.1</v>
      </c>
      <c r="E99">
        <v>0.9</v>
      </c>
      <c r="F99">
        <v>5.3</v>
      </c>
      <c r="G99" s="3">
        <f t="shared" si="4"/>
        <v>0</v>
      </c>
      <c r="H99" s="3">
        <f t="shared" si="5"/>
        <v>0</v>
      </c>
      <c r="I99" s="3">
        <f t="shared" si="6"/>
        <v>0</v>
      </c>
      <c r="J99" s="3">
        <f t="shared" si="7"/>
        <v>6</v>
      </c>
      <c r="K99">
        <v>2.1</v>
      </c>
      <c r="L99">
        <v>0</v>
      </c>
      <c r="M99">
        <v>0</v>
      </c>
      <c r="N99" t="s">
        <v>8</v>
      </c>
      <c r="O99">
        <v>3.2</v>
      </c>
      <c r="P99">
        <v>0</v>
      </c>
      <c r="Q99" t="s">
        <v>8</v>
      </c>
      <c r="R99">
        <v>0</v>
      </c>
      <c r="S99" t="s">
        <v>8</v>
      </c>
      <c r="T99" t="s">
        <v>8</v>
      </c>
      <c r="U99" t="s">
        <v>7</v>
      </c>
      <c r="V99" t="s">
        <v>8</v>
      </c>
      <c r="W99" t="s">
        <v>8</v>
      </c>
      <c r="X99" t="s">
        <v>8</v>
      </c>
      <c r="Y99" t="s">
        <v>8</v>
      </c>
      <c r="Z99" t="s">
        <v>8</v>
      </c>
      <c r="AA99" t="s">
        <v>8</v>
      </c>
      <c r="AB99" t="s">
        <v>8</v>
      </c>
    </row>
    <row r="100" spans="1:28" x14ac:dyDescent="0.25">
      <c r="A100">
        <v>99</v>
      </c>
      <c r="B100" t="s">
        <v>773</v>
      </c>
      <c r="C100" t="s">
        <v>10</v>
      </c>
      <c r="D100" t="s">
        <v>8</v>
      </c>
      <c r="E100">
        <v>1</v>
      </c>
      <c r="F100">
        <v>4.8</v>
      </c>
      <c r="G100" s="3">
        <f t="shared" si="4"/>
        <v>0</v>
      </c>
      <c r="H100" s="3">
        <f t="shared" si="5"/>
        <v>0</v>
      </c>
      <c r="I100" s="3">
        <f t="shared" si="6"/>
        <v>0</v>
      </c>
      <c r="J100" s="3">
        <f t="shared" si="7"/>
        <v>5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8</v>
      </c>
      <c r="Q100" t="s">
        <v>8</v>
      </c>
      <c r="R100" t="s">
        <v>8</v>
      </c>
      <c r="S100" t="s">
        <v>7</v>
      </c>
      <c r="T100" t="s">
        <v>8</v>
      </c>
      <c r="U100" t="s">
        <v>8</v>
      </c>
      <c r="V100" t="s">
        <v>8</v>
      </c>
      <c r="W100" t="s">
        <v>8</v>
      </c>
      <c r="X100">
        <v>0</v>
      </c>
      <c r="Y100">
        <v>0</v>
      </c>
      <c r="Z100">
        <v>0</v>
      </c>
      <c r="AA100">
        <v>4.8</v>
      </c>
      <c r="AB100">
        <v>0</v>
      </c>
    </row>
    <row r="101" spans="1:28" x14ac:dyDescent="0.25">
      <c r="A101">
        <v>99</v>
      </c>
      <c r="B101" t="s">
        <v>774</v>
      </c>
      <c r="C101" t="s">
        <v>36</v>
      </c>
      <c r="D101">
        <v>0</v>
      </c>
      <c r="E101">
        <v>0.4</v>
      </c>
      <c r="F101">
        <v>4.8</v>
      </c>
      <c r="G101" s="3">
        <f t="shared" si="4"/>
        <v>0</v>
      </c>
      <c r="H101" s="3">
        <f t="shared" si="5"/>
        <v>0</v>
      </c>
      <c r="I101" s="3">
        <f t="shared" si="6"/>
        <v>0</v>
      </c>
      <c r="J101" s="3">
        <f t="shared" si="7"/>
        <v>11</v>
      </c>
      <c r="K101">
        <v>0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t="s">
        <v>7</v>
      </c>
      <c r="R101">
        <v>0</v>
      </c>
      <c r="S101" t="s">
        <v>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1.4</v>
      </c>
      <c r="AB101">
        <v>3.4</v>
      </c>
    </row>
    <row r="102" spans="1:28" x14ac:dyDescent="0.25">
      <c r="E102"/>
      <c r="F102"/>
      <c r="K102" t="s">
        <v>8</v>
      </c>
      <c r="L102" t="s">
        <v>8</v>
      </c>
      <c r="M102" t="s">
        <v>8</v>
      </c>
      <c r="N102" t="s">
        <v>8</v>
      </c>
      <c r="O102" t="s">
        <v>7</v>
      </c>
      <c r="P102" t="s">
        <v>8</v>
      </c>
      <c r="Q102" t="s">
        <v>8</v>
      </c>
      <c r="R102" t="s">
        <v>8</v>
      </c>
      <c r="S102">
        <v>0</v>
      </c>
      <c r="T102">
        <v>0</v>
      </c>
      <c r="U102" t="s">
        <v>8</v>
      </c>
      <c r="V102">
        <v>0</v>
      </c>
      <c r="W102">
        <v>1.5</v>
      </c>
      <c r="X102">
        <v>0</v>
      </c>
      <c r="Y102" t="s">
        <v>8</v>
      </c>
      <c r="Z102">
        <v>0</v>
      </c>
      <c r="AA102">
        <v>1.2</v>
      </c>
      <c r="AB102">
        <v>1.5</v>
      </c>
    </row>
    <row r="260" spans="6:28" x14ac:dyDescent="0.25">
      <c r="F260" s="3"/>
      <c r="J260" s="4"/>
      <c r="AB260" s="3"/>
    </row>
  </sheetData>
  <conditionalFormatting sqref="K2:AB2">
    <cfRule type="cellIs" dxfId="4" priority="1" operator="lessThan">
      <formula>7.6</formula>
    </cfRule>
    <cfRule type="cellIs" dxfId="3" priority="2" operator="greaterThanOrEqual">
      <formula>7.6</formula>
    </cfRule>
  </conditionalFormatting>
  <conditionalFormatting sqref="K2:AB51">
    <cfRule type="cellIs" dxfId="2" priority="3" operator="lessThan">
      <formula>11.45</formula>
    </cfRule>
    <cfRule type="cellIs" dxfId="1" priority="4" operator="greaterThanOrEqual">
      <formula>11.45</formula>
    </cfRule>
  </conditionalFormatting>
  <conditionalFormatting sqref="AE37">
    <cfRule type="cellIs" dxfId="0" priority="5" operator="greaterThanOrEqual">
      <formula>11.45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QB24</vt:lpstr>
      <vt:lpstr>RB24</vt:lpstr>
      <vt:lpstr>WR24</vt:lpstr>
      <vt:lpstr>QB23</vt:lpstr>
      <vt:lpstr>TE24</vt:lpstr>
      <vt:lpstr>RB23</vt:lpstr>
      <vt:lpstr>WR23</vt:lpstr>
      <vt:lpstr>TE23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Carter</dc:creator>
  <cp:lastModifiedBy>Billy Carter</cp:lastModifiedBy>
  <dcterms:created xsi:type="dcterms:W3CDTF">2025-08-03T17:46:33Z</dcterms:created>
  <dcterms:modified xsi:type="dcterms:W3CDTF">2025-11-08T21:26:05Z</dcterms:modified>
</cp:coreProperties>
</file>